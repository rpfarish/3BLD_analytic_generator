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F edges" sheetId="1" r:id="rId3"/>
    <sheet state="visible" name="UB edges" sheetId="2" r:id="rId4"/>
    <sheet state="visible" name="UR edges" sheetId="3" r:id="rId5"/>
    <sheet state="visible" name="UL edges" sheetId="4" r:id="rId6"/>
    <sheet state="visible" name="FR edges" sheetId="5" r:id="rId7"/>
    <sheet state="visible" name="FL edges" sheetId="6" r:id="rId8"/>
    <sheet state="visible" name="FD edges" sheetId="7" r:id="rId9"/>
    <sheet state="visible" name="BD edges" sheetId="8" r:id="rId10"/>
    <sheet state="visible" name="RD edges" sheetId="9" r:id="rId11"/>
    <sheet state="visible" name="LD edges" sheetId="10" r:id="rId12"/>
    <sheet state="visible" name="UFR corners" sheetId="11" r:id="rId13"/>
    <sheet state="visible" name="UFL corners" sheetId="12" r:id="rId14"/>
    <sheet state="visible" name="UBR corners" sheetId="13" r:id="rId15"/>
    <sheet state="visible" name="UBL corners" sheetId="14" r:id="rId16"/>
    <sheet state="visible" name="RFD corners" sheetId="15" r:id="rId17"/>
    <sheet state="visible" name="FDL corners" sheetId="16" r:id="rId18"/>
    <sheet state="visible" name="Floating 2flips" sheetId="17" r:id="rId19"/>
    <sheet state="visible" name="UFr wings" sheetId="18" r:id="rId20"/>
    <sheet state="visible" name="UF midges" sheetId="19" r:id="rId21"/>
    <sheet state="visible" name="Ubl xcenters" sheetId="20" r:id="rId22"/>
    <sheet state="visible" name="UL +centers" sheetId="21" r:id="rId23"/>
    <sheet state="visible" name="UBL corners (old)" sheetId="22" r:id="rId24"/>
    <sheet state="visible" name="UBL twist algs" sheetId="23" r:id="rId25"/>
    <sheet state="visible" name="UFR twist algs" sheetId="24" r:id="rId26"/>
    <sheet state="visible" name="DF edges (old)" sheetId="25" r:id="rId27"/>
    <sheet state="visible" name="DFr wings" sheetId="26" r:id="rId28"/>
    <sheet state="visible" name="UL-UB+DF-xy 2e2e" sheetId="27" r:id="rId29"/>
    <sheet state="visible" name="UL-UB+UF-xy 2e2e" sheetId="28" r:id="rId30"/>
    <sheet state="visible" name="Letter pairs" sheetId="29" r:id="rId31"/>
    <sheet state="visible" name="Number pair words" sheetId="30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executed like
r U' R U r' R U' R' U R'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2">
      <text>
        <t xml:space="preserve">execute as L' E' L S' L2 S L3' E L</t>
      </text>
    </comment>
    <comment authorId="0" ref="L16">
      <text>
        <t xml:space="preserve">execute as L' E' L3 S' L2' S L' E 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execute as R E R' S R2 S' R3 E' R'</t>
      </text>
    </comment>
    <comment authorId="0" ref="J13">
      <text>
        <t xml:space="preserve">execute as R E R3' S R2 S' R E' R'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can execute this regripless, like L' E' L E L S L' S'</t>
      </text>
    </comment>
    <comment authorId="0" ref="L5">
      <text>
        <t xml:space="preserve">can execute this regripless, like E' L' E L S L S' L'</t>
      </text>
    </comment>
    <comment authorId="0" ref="L10">
      <text>
        <t xml:space="preserve">can execute this regripless, like R' E' R' E R S' R S</t>
      </text>
    </comment>
    <comment authorId="0" ref="E11">
      <text>
        <t xml:space="preserve">can execute this regripless, like S L S' L' E' L' E L</t>
      </text>
    </comment>
    <comment authorId="0" ref="L11">
      <text>
        <t xml:space="preserve">can execute this regripless, like R E R' E' R' S' R S</t>
      </text>
    </comment>
    <comment authorId="0" ref="E12">
      <text>
        <t xml:space="preserve">can execute this regripless, like L S L' S' L' E' L E</t>
      </text>
    </comment>
    <comment authorId="0" ref="J12">
      <text>
        <t xml:space="preserve">can execute this regripless, like S' R' S R' E' R E R</t>
      </text>
    </comment>
    <comment authorId="0" ref="K12">
      <text>
        <t xml:space="preserve">can execute this regripless, like S' R' S R E R E' R'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this can be executed regripless, as E R E' R' S' R' S R</t>
      </text>
    </comment>
    <comment authorId="0" ref="H7">
      <text>
        <t xml:space="preserve">can be executed regripless, like L E L E' L' S L' S'</t>
      </text>
    </comment>
    <comment authorId="0" ref="F8">
      <text>
        <t xml:space="preserve">this can be executed regripless, as R' S' R S R E R' E'</t>
      </text>
    </comment>
    <comment authorId="0" ref="G8">
      <text>
        <t xml:space="preserve">can be executed regripless, like S L S' L E L' E' L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execute with a lefty regrip to start, as
F' E F l' U' S' U l</t>
      </text>
    </comment>
    <comment authorId="0" ref="E6">
      <text>
        <t xml:space="preserve">execute with a lefty regrip to start, as
l' U' S U l F' E' F</t>
      </text>
    </comment>
    <comment authorId="0" ref="H7">
      <text>
        <t xml:space="preserve">execute with a righty regrip to start, as
F E' F' r U S U' r'</t>
      </text>
    </comment>
    <comment authorId="0" ref="G8">
      <text>
        <t xml:space="preserve">execute with a righty regrip to start, as
r U S' U' r' F E F'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this can be executed regripless, like E L E' L' S L' S' L</t>
      </text>
    </comment>
    <comment authorId="0" ref="B3">
      <text>
        <t xml:space="preserve">this can be executed regripless, like L' S L S' L E L' E'</t>
      </text>
    </comment>
    <comment authorId="0" ref="G3">
      <text>
        <t xml:space="preserve">this can be executed regripless, like S L' S' L E L E' L'</t>
      </text>
    </comment>
    <comment authorId="0" ref="C7">
      <text>
        <t xml:space="preserve">this can be executed regripless, like L E L' E' L' S L S'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this can be executed regripless, like S' R S R' E' R' E R</t>
      </text>
    </comment>
    <comment authorId="0" ref="C4">
      <text>
        <t xml:space="preserve">this can be executed regripless, like R' E' R E R S' R' 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F U2 F' R F R' U2 R F' R'</t>
      </text>
    </comment>
    <comment authorId="0" ref="B17">
      <text>
        <t xml:space="preserve">R F R' U2 R F' R' F U2 F'</t>
      </text>
    </comment>
    <comment authorId="0" ref="A24">
      <text>
        <t xml:space="preserve">UF/UR swap default</t>
      </text>
    </comment>
    <comment authorId="0" ref="D24">
      <text>
        <t xml:space="preserve">do UF UL swap to give better J perm if it doesnt make edges worse</t>
      </text>
    </comment>
    <comment authorId="0" ref="G24">
      <text>
        <t xml:space="preserve">y' rotation into R' F.... if i cant cancel into it</t>
      </text>
    </comment>
    <comment authorId="0" ref="Q24">
      <text>
        <t xml:space="preserve">if it doesnt make edges worse i do UL UF swap to give the shift of alg for UFR BUR UF UR</t>
      </text>
    </comment>
    <comment authorId="0" ref="V24">
      <text>
        <t xml:space="preserve">if it doesnt make edges worse, i do ul ub swap to give shifted J perm alg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">
      <text>
        <t xml:space="preserve">UL/UF swap default</t>
      </text>
    </comment>
    <comment authorId="0" ref="B21">
      <text>
        <t xml:space="preserve">if ul/ub swap doesnt add an alg, do that into righty j-perm</t>
      </text>
    </comment>
    <comment authorId="0" ref="J21">
      <text>
        <t xml:space="preserve">if it doesnt make edges worse, do UR UB swap into
L x U2' R2' F R F' R U2' r' U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UR/UB swap default</t>
      </text>
    </comment>
    <comment authorId="0" ref="L18">
      <text>
        <t xml:space="preserve">UL/UB swap into
R' U' R' U' R U R' F' R U R' U' R' F R'
is another option, seems roughly same speed for me so if it makes edges better to do UL/UB swap, do it</t>
      </text>
    </comment>
    <comment authorId="0" ref="P18">
      <text>
        <t xml:space="preserve">this alg is not good but idk anything better for UR/UB swap, ideally UL/UB swap into
R' F R U' R' U' R' U R' F' R U R' U' R' F R F' 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UL/UB swap default</t>
      </text>
    </comment>
    <comment authorId="0" ref="K15">
      <text>
        <t xml:space="preserve">if you can't cancel into the normal alg, do this instead, at the very end of the solve so you don't have to rotate twice:
y' R U' R U R' F' R U R' U' R' F R2 U' R2'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currently doing all UF-UR swap algs for RFD/FDL floats in 3bld until i get around to learning specific swaps that have the best algs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currently doing all UF-UR swap algs for RFD/FDL floats in 3bld until i get around to learning specific swaps that have the best algs</t>
      </text>
    </comment>
    <comment authorId="0" ref="C9">
      <text>
        <t xml:space="preserve">D to the alg for RFD DFL or D2 to the alg for RFD RDB are other options, but this z rotation alg is better than both for me</t>
      </text>
    </comment>
    <comment authorId="0" ref="E9">
      <text>
        <t xml:space="preserve">[D : [R U R', D]] cancelled into standard U2D alg for UF-UR+UFR-FDL seems more stable but slightly slower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3Lw' on 5x5</t>
      </text>
    </comment>
    <comment authorId="0" ref="W2">
      <text>
        <t xml:space="preserve">3Lw' on 5x5</t>
      </text>
    </comment>
    <comment authorId="0" ref="E3">
      <text>
        <t xml:space="preserve">3Lw' Rw' on 5x5</t>
      </text>
    </comment>
    <comment authorId="0" ref="F3">
      <text>
        <t xml:space="preserve">4Lw on 5x5</t>
      </text>
    </comment>
    <comment authorId="0" ref="I3">
      <text>
        <t xml:space="preserve">4Lw on 5x5</t>
      </text>
    </comment>
    <comment authorId="0" ref="J3">
      <text>
        <t xml:space="preserve">4Lw on 5x5</t>
      </text>
    </comment>
    <comment authorId="0" ref="R3">
      <text>
        <t xml:space="preserve">3Rw on 5x5</t>
      </text>
    </comment>
    <comment authorId="0" ref="H4">
      <text>
        <t xml:space="preserve">4Rw' on 5x5</t>
      </text>
    </comment>
    <comment authorId="0" ref="Q4">
      <text>
        <t xml:space="preserve">3Lw' on 5x5</t>
      </text>
    </comment>
    <comment authorId="0" ref="R4">
      <text>
        <t xml:space="preserve">Rw' 3Lw' on 5x5</t>
      </text>
    </comment>
    <comment authorId="0" ref="W4">
      <text>
        <t xml:space="preserve">3Lw on 5x5</t>
      </text>
    </comment>
    <comment authorId="0" ref="X4">
      <text>
        <t xml:space="preserve">Uw start</t>
      </text>
    </comment>
    <comment authorId="0" ref="B5">
      <text>
        <t xml:space="preserve">3Lw' on 5x5</t>
      </text>
    </comment>
    <comment authorId="0" ref="C5">
      <text>
        <t xml:space="preserve">3Lw' Rw' on 5x5</t>
      </text>
    </comment>
    <comment authorId="0" ref="G5">
      <text>
        <t xml:space="preserve">3Lw' on 5x5</t>
      </text>
    </comment>
    <comment authorId="0" ref="M5">
      <text>
        <t xml:space="preserve">close with [Lw' U : [L' u' L, U2]], Rw' seems to be more stable</t>
      </text>
    </comment>
    <comment authorId="0" ref="Q5">
      <text>
        <t xml:space="preserve">3Lw' on 5x5</t>
      </text>
    </comment>
    <comment authorId="0" ref="R5">
      <text>
        <t xml:space="preserve">3Rw2 on 5x5</t>
      </text>
    </comment>
    <comment authorId="0" ref="C6">
      <text>
        <t xml:space="preserve">4Lw on 5x5</t>
      </text>
    </comment>
    <comment authorId="0" ref="O6">
      <text>
        <t xml:space="preserve">4Lw on 5x5
I've actually found I have [z Lw' U' : [U' r2 U, R]] faster on 4x4 though</t>
      </text>
    </comment>
    <comment authorId="0" ref="E7">
      <text>
        <t xml:space="preserve">3Lw' on 5x5</t>
      </text>
    </comment>
    <comment authorId="0" ref="I7">
      <text>
        <t xml:space="preserve">3Lw on 5x5</t>
      </text>
    </comment>
    <comment authorId="0" ref="L7">
      <text>
        <t xml:space="preserve">3Lw' on 5x5</t>
      </text>
    </comment>
    <comment authorId="0" ref="R7">
      <text>
        <t xml:space="preserve">4Lw' on 5x5</t>
      </text>
    </comment>
    <comment authorId="0" ref="D8">
      <text>
        <t xml:space="preserve">4Rw' on 5x5</t>
      </text>
    </comment>
    <comment authorId="0" ref="C9">
      <text>
        <t xml:space="preserve">4Lw on 5x5</t>
      </text>
    </comment>
    <comment authorId="0" ref="G9">
      <text>
        <t xml:space="preserve">3Lw on 5x5</t>
      </text>
    </comment>
    <comment authorId="0" ref="P9">
      <text>
        <t xml:space="preserve">3Rw on 5x5</t>
      </text>
    </comment>
    <comment authorId="0" ref="Q9">
      <text>
        <t xml:space="preserve">3Rw on 5x5</t>
      </text>
    </comment>
    <comment authorId="0" ref="U9">
      <text>
        <t xml:space="preserve">3Lw on 5x5</t>
      </text>
    </comment>
    <comment authorId="0" ref="C10">
      <text>
        <t xml:space="preserve">4Lw on 5x5</t>
      </text>
    </comment>
    <comment authorId="0" ref="R11">
      <text>
        <t xml:space="preserve">4Lw' on 5x5</t>
      </text>
    </comment>
    <comment authorId="0" ref="T11">
      <text>
        <t xml:space="preserve">4Lw' on 5x5</t>
      </text>
    </comment>
    <comment authorId="0" ref="G12">
      <text>
        <t xml:space="preserve">3Lw' on 5x5</t>
      </text>
    </comment>
    <comment authorId="0" ref="W12">
      <text>
        <t xml:space="preserve">3Lw on 5x5</t>
      </text>
    </comment>
    <comment authorId="0" ref="E13">
      <text>
        <t xml:space="preserve">close with [Lw' U' : [L' u' L, U2]], Rw' seems to be more stable</t>
      </text>
    </comment>
    <comment authorId="0" ref="P13">
      <text>
        <t xml:space="preserve">4Lw on 5x5</t>
      </text>
    </comment>
    <comment authorId="0" ref="T13">
      <text>
        <t xml:space="preserve">really close with [R U D' : [r U' r', D2]]</t>
      </text>
    </comment>
    <comment authorId="0" ref="P14">
      <text>
        <t xml:space="preserve">4Lw on 5x5</t>
      </text>
    </comment>
    <comment authorId="0" ref="F15">
      <text>
        <t xml:space="preserve">4Lw on 5x5
I've actually found I have [z Lw' u' : [U' r2 U, R]] faster on 4x4 though</t>
      </text>
    </comment>
    <comment authorId="0" ref="P15">
      <text>
        <t xml:space="preserve">4Lw on 5x5</t>
      </text>
    </comment>
    <comment authorId="0" ref="Q15">
      <text>
        <t xml:space="preserve">4Lw on 5x5</t>
      </text>
    </comment>
    <comment authorId="0" ref="I16">
      <text>
        <t xml:space="preserve">3Rw on 5x5</t>
      </text>
    </comment>
    <comment authorId="0" ref="M16">
      <text>
        <t xml:space="preserve">4Lw on 5x5</t>
      </text>
    </comment>
    <comment authorId="0" ref="N16">
      <text>
        <t xml:space="preserve">4Lw on 5x5</t>
      </text>
    </comment>
    <comment authorId="0" ref="O16">
      <text>
        <t xml:space="preserve">4Lw on 5x5</t>
      </text>
    </comment>
    <comment authorId="0" ref="D17">
      <text>
        <t xml:space="preserve">3Lw' on 5x5</t>
      </text>
    </comment>
    <comment authorId="0" ref="E17">
      <text>
        <t xml:space="preserve">3Lw' on 5x5</t>
      </text>
    </comment>
    <comment authorId="0" ref="I17">
      <text>
        <t xml:space="preserve">3Rw on 5x5</t>
      </text>
    </comment>
    <comment authorId="0" ref="O17">
      <text>
        <t xml:space="preserve">4Lw on 5x5</t>
      </text>
    </comment>
    <comment authorId="0" ref="U17">
      <text>
        <t xml:space="preserve">4Rw on 5x5</t>
      </text>
    </comment>
    <comment authorId="0" ref="C18">
      <text>
        <t xml:space="preserve">3Rw on 5x5</t>
      </text>
    </comment>
    <comment authorId="0" ref="D18">
      <text>
        <t xml:space="preserve">Rw' 3Lw' on 5x5</t>
      </text>
    </comment>
    <comment authorId="0" ref="E18">
      <text>
        <t xml:space="preserve">3Rw2 on 5x5</t>
      </text>
    </comment>
    <comment authorId="0" ref="G18">
      <text>
        <t xml:space="preserve">4Lw' on 5x5</t>
      </text>
    </comment>
    <comment authorId="0" ref="K18">
      <text>
        <t xml:space="preserve">4Lw on 5x5</t>
      </text>
    </comment>
    <comment authorId="0" ref="S18">
      <text>
        <t xml:space="preserve">4Rw' on 5x5</t>
      </text>
    </comment>
    <comment authorId="0" ref="T18">
      <text>
        <t xml:space="preserve">4Rw' on 5x5</t>
      </text>
    </comment>
    <comment authorId="0" ref="W18">
      <text>
        <t xml:space="preserve">3Lw' on 5x5</t>
      </text>
    </comment>
    <comment authorId="0" ref="X18">
      <text>
        <t xml:space="preserve">4Lw' on 5x5</t>
      </text>
    </comment>
    <comment authorId="0" ref="R19">
      <text>
        <t xml:space="preserve">4Rw' on 5x5</t>
      </text>
    </comment>
    <comment authorId="0" ref="K20">
      <text>
        <t xml:space="preserve">4Lw on 5x5</t>
      </text>
    </comment>
    <comment authorId="0" ref="M20">
      <text>
        <t xml:space="preserve">really close with [R U D' : [r U' r', D2]]</t>
      </text>
    </comment>
    <comment authorId="0" ref="R20">
      <text>
        <t xml:space="preserve">4Rw' on 5x5</t>
      </text>
    </comment>
    <comment authorId="0" ref="W20">
      <text>
        <t xml:space="preserve">3Lw' on 5x5</t>
      </text>
    </comment>
    <comment authorId="0" ref="I21">
      <text>
        <t xml:space="preserve">3Lw on 5x5</t>
      </text>
    </comment>
    <comment authorId="0" ref="Q21">
      <text>
        <t xml:space="preserve">4Rw on 5x5</t>
      </text>
    </comment>
    <comment authorId="0" ref="F22">
      <text>
        <t xml:space="preserve">rR' end</t>
      </text>
    </comment>
    <comment authorId="0" ref="B23">
      <text>
        <t xml:space="preserve">3Lw' on 5x5</t>
      </text>
    </comment>
    <comment authorId="0" ref="D23">
      <text>
        <t xml:space="preserve">3Lw on 5x5</t>
      </text>
    </comment>
    <comment authorId="0" ref="L23">
      <text>
        <t xml:space="preserve">3Lw on 5x5</t>
      </text>
    </comment>
    <comment authorId="0" ref="R23">
      <text>
        <t xml:space="preserve">3Lw' on 5x5</t>
      </text>
    </comment>
    <comment authorId="0" ref="T23">
      <text>
        <t xml:space="preserve">3Lw' on 5x5</t>
      </text>
    </comment>
    <comment authorId="0" ref="D24">
      <text>
        <t xml:space="preserve">Uw start</t>
      </text>
    </comment>
    <comment authorId="0" ref="R24">
      <text>
        <t xml:space="preserve">4Lw' on 5x5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1.35</t>
      </text>
    </comment>
    <comment authorId="0" ref="R3">
      <text>
        <t xml:space="preserve">1.55</t>
      </text>
    </comment>
    <comment authorId="0" ref="U3">
      <text>
        <t xml:space="preserve">4Lw start</t>
      </text>
    </comment>
    <comment authorId="0" ref="W4">
      <text>
        <t xml:space="preserve">4Rw' start</t>
      </text>
    </comment>
    <comment authorId="0" ref="O5">
      <text>
        <t xml:space="preserve">1.54</t>
      </text>
    </comment>
    <comment authorId="0" ref="C6">
      <text>
        <t xml:space="preserve">1.35</t>
      </text>
    </comment>
    <comment authorId="0" ref="O12">
      <text>
        <t xml:space="preserve">1.40, rM end</t>
      </text>
    </comment>
    <comment authorId="0" ref="O13">
      <text>
        <t xml:space="preserve">this is the 3-layer S!!! not the small S slice</t>
      </text>
    </comment>
    <comment authorId="0" ref="L15">
      <text>
        <t xml:space="preserve">1.49, rM start</t>
      </text>
    </comment>
    <comment authorId="0" ref="M15">
      <text>
        <t xml:space="preserve">this is the 3-layer S!!! not the small S slice</t>
      </text>
    </comment>
    <comment authorId="0" ref="Q16">
      <text>
        <t xml:space="preserve">, l'M' end</t>
      </text>
    </comment>
    <comment authorId="0" ref="P17">
      <text>
        <t xml:space="preserve">, lM start</t>
      </text>
    </comment>
    <comment authorId="0" ref="S17">
      <text>
        <t xml:space="preserve">this is the 3-layer S!!! not the small S slice</t>
      </text>
    </comment>
    <comment authorId="0" ref="Q19">
      <text>
        <t xml:space="preserve">this is the 3-layer S!!! not the small S slice</t>
      </text>
    </comment>
    <comment authorId="0" ref="C21">
      <text>
        <t xml:space="preserve">4Lw' end</t>
      </text>
    </comment>
    <comment authorId="0" ref="D23">
      <text>
        <t xml:space="preserve">4Rw end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3Rw on 5x5</t>
      </text>
    </comment>
    <comment authorId="0" ref="F2">
      <text>
        <t xml:space="preserve">3Lw' on 5x5</t>
      </text>
    </comment>
    <comment authorId="0" ref="H2">
      <text>
        <t xml:space="preserve">3Rw on 5x5</t>
      </text>
    </comment>
    <comment authorId="0" ref="I2">
      <text>
        <t xml:space="preserve">3Rw on 5x5</t>
      </text>
    </comment>
    <comment authorId="0" ref="J2">
      <text>
        <t xml:space="preserve">3Lw' on 5x5</t>
      </text>
    </comment>
    <comment authorId="0" ref="K2">
      <text>
        <t xml:space="preserve">3Lw on 5x5</t>
      </text>
    </comment>
    <comment authorId="0" ref="L2">
      <text>
        <t xml:space="preserve">3Rw' on 5x5</t>
      </text>
    </comment>
    <comment authorId="0" ref="U2">
      <text>
        <t xml:space="preserve">3Rw' on 5x5</t>
      </text>
    </comment>
    <comment authorId="0" ref="V2">
      <text>
        <t xml:space="preserve">3Lw on 5x5</t>
      </text>
    </comment>
    <comment authorId="0" ref="F3">
      <text>
        <t xml:space="preserve">u'U end</t>
      </text>
    </comment>
    <comment authorId="0" ref="J3">
      <text>
        <t xml:space="preserve">3Lw on 5x5</t>
      </text>
    </comment>
    <comment authorId="0" ref="C10">
      <text>
        <t xml:space="preserve">3Lw on 5x5</t>
      </text>
    </comment>
    <comment authorId="0" ref="D10">
      <text>
        <t xml:space="preserve">3Lw' on 5x5</t>
      </text>
    </comment>
    <comment authorId="0" ref="B12">
      <text>
        <t xml:space="preserve">3Rw' on 5x5</t>
      </text>
    </comment>
    <comment authorId="0" ref="B21">
      <text>
        <t xml:space="preserve">3Rw' on 5x5</t>
      </text>
    </comment>
    <comment authorId="0" ref="B22">
      <text>
        <t xml:space="preserve">3Lw on 5x5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">
      <text>
        <t xml:space="preserve">3Rw Rw2' end</t>
      </text>
    </comment>
    <comment authorId="0" ref="U3">
      <text>
        <t xml:space="preserve">1.81</t>
      </text>
    </comment>
    <comment authorId="0" ref="N5">
      <text>
        <t xml:space="preserve">Rw 3Rw start</t>
      </text>
    </comment>
    <comment authorId="0" ref="Q6">
      <text>
        <t xml:space="preserve">E' right ring, E left index, R Rw2' end</t>
      </text>
    </comment>
    <comment authorId="0" ref="R6">
      <text>
        <t xml:space="preserve">Uu' start</t>
      </text>
    </comment>
    <comment authorId="0" ref="S6">
      <text>
        <t xml:space="preserve">left index E right index E'</t>
      </text>
    </comment>
    <comment authorId="0" ref="M7">
      <text>
        <t xml:space="preserve">u'E start</t>
      </text>
    </comment>
    <comment authorId="0" ref="O7">
      <text>
        <t xml:space="preserve">3Rw M'Rw2' end</t>
      </text>
    </comment>
    <comment authorId="0" ref="Q7">
      <text>
        <t xml:space="preserve">u'E start</t>
      </text>
    </comment>
    <comment authorId="0" ref="M11">
      <text>
        <t xml:space="preserve">1.94</t>
      </text>
    </comment>
    <comment authorId="0" ref="O12">
      <text>
        <t xml:space="preserve">3Rw 4Rw2' end</t>
      </text>
    </comment>
    <comment authorId="0" ref="B15">
      <text>
        <t xml:space="preserve">3Rw Rw2' end</t>
      </text>
    </comment>
    <comment authorId="0" ref="H15">
      <text>
        <t xml:space="preserve">1.36</t>
      </text>
    </comment>
    <comment authorId="0" ref="H18">
      <text>
        <t xml:space="preserve">1.79</t>
      </text>
    </comment>
    <comment authorId="0" ref="Q23">
      <text>
        <t xml:space="preserve">1.90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1.09, 2 regrips</t>
      </text>
    </comment>
    <comment authorId="0" ref="D2">
      <text>
        <t xml:space="preserve">1.10, 2 regrips</t>
      </text>
    </comment>
    <comment authorId="0" ref="E2">
      <text>
        <t xml:space="preserve">0.90, 2 regrips</t>
      </text>
    </comment>
    <comment authorId="0" ref="F2">
      <text>
        <t xml:space="preserve">0.81, regripless
</t>
      </text>
    </comment>
    <comment authorId="0" ref="G2">
      <text>
        <t xml:space="preserve">0.74, regripless</t>
      </text>
    </comment>
    <comment authorId="0" ref="H2">
      <text>
        <t xml:space="preserve">0.73, regripless</t>
      </text>
    </comment>
    <comment authorId="0" ref="I2">
      <text>
        <t xml:space="preserve">1.08, regripless</t>
      </text>
    </comment>
    <comment authorId="0" ref="J2">
      <text>
        <t xml:space="preserve">1.06, regripless</t>
      </text>
    </comment>
    <comment authorId="0" ref="K2">
      <text>
        <t xml:space="preserve">1.16, regripless</t>
      </text>
    </comment>
    <comment authorId="0" ref="L2">
      <text>
        <t xml:space="preserve">1.22, regripless</t>
      </text>
    </comment>
    <comment authorId="0" ref="N2">
      <text>
        <t xml:space="preserve">0.49, regripless</t>
      </text>
    </comment>
    <comment authorId="0" ref="O2">
      <text>
        <t xml:space="preserve">0.67, regripless</t>
      </text>
    </comment>
    <comment authorId="0" ref="P2">
      <text>
        <t xml:space="preserve">1.09, 2 regrips</t>
      </text>
    </comment>
    <comment authorId="0" ref="Q2">
      <text>
        <t xml:space="preserve">0.54, regripless</t>
      </text>
    </comment>
    <comment authorId="0" ref="R2">
      <text>
        <t xml:space="preserve">1.02, 2 regrips</t>
      </text>
    </comment>
    <comment authorId="0" ref="S2">
      <text>
        <t xml:space="preserve">0.58, regripless</t>
      </text>
    </comment>
    <comment authorId="0" ref="T2">
      <text>
        <t xml:space="preserve">0.61, regripless</t>
      </text>
    </comment>
    <comment authorId="0" ref="U2">
      <text>
        <t xml:space="preserve">0.70, regripless</t>
      </text>
    </comment>
    <comment authorId="0" ref="B3">
      <text>
        <t xml:space="preserve">1.08, 2 regrips</t>
      </text>
    </comment>
    <comment authorId="0" ref="D3">
      <text>
        <t xml:space="preserve">0.80, 2 regrips</t>
      </text>
    </comment>
    <comment authorId="0" ref="E3">
      <text>
        <t xml:space="preserve">1.16, 2 regrips</t>
      </text>
    </comment>
    <comment authorId="0" ref="G3">
      <text>
        <t xml:space="preserve">0.89, regripless</t>
      </text>
    </comment>
    <comment authorId="0" ref="H3">
      <text>
        <t xml:space="preserve">0.84, regripless</t>
      </text>
    </comment>
    <comment authorId="0" ref="I3">
      <text>
        <t xml:space="preserve">1.23, regripless</t>
      </text>
    </comment>
    <comment authorId="0" ref="J3">
      <text>
        <t xml:space="preserve">1.28, regripless</t>
      </text>
    </comment>
    <comment authorId="0" ref="K3">
      <text>
        <t xml:space="preserve">1.07, regripless</t>
      </text>
    </comment>
    <comment authorId="0" ref="L3">
      <text>
        <t xml:space="preserve">1.31, regripless</t>
      </text>
    </comment>
    <comment authorId="0" ref="M3">
      <text>
        <t xml:space="preserve">1.21, 2 regrips or 1 regrip*</t>
      </text>
    </comment>
    <comment authorId="0" ref="N3">
      <text>
        <t xml:space="preserve">0.69, regripless</t>
      </text>
    </comment>
    <comment authorId="0" ref="O3">
      <text>
        <t xml:space="preserve">0.67, regripless</t>
      </text>
    </comment>
    <comment authorId="0" ref="Q3">
      <text>
        <t xml:space="preserve">0.67, regripless</t>
      </text>
    </comment>
    <comment authorId="0" ref="R3">
      <text>
        <t xml:space="preserve">1.17, 2 regrips</t>
      </text>
    </comment>
    <comment authorId="0" ref="S3">
      <text>
        <t xml:space="preserve">0.64, regripless</t>
      </text>
    </comment>
    <comment authorId="0" ref="T3">
      <text>
        <t xml:space="preserve">0.72, regripless</t>
      </text>
    </comment>
    <comment authorId="0" ref="U3">
      <text>
        <t xml:space="preserve">0.72, regripless</t>
      </text>
    </comment>
    <comment authorId="0" ref="V3">
      <text>
        <t xml:space="preserve">0.93, 2 regrips or regripless*</t>
      </text>
    </comment>
    <comment authorId="0" ref="B4">
      <text>
        <t xml:space="preserve">0.94, 2 regrips</t>
      </text>
    </comment>
    <comment authorId="0" ref="C4">
      <text>
        <t xml:space="preserve">0.93, 2 regrips</t>
      </text>
    </comment>
    <comment authorId="0" ref="F4">
      <text>
        <t xml:space="preserve">0.95, 2 regrips</t>
      </text>
    </comment>
    <comment authorId="0" ref="G4">
      <text>
        <t xml:space="preserve">0.80, regripless</t>
      </text>
    </comment>
    <comment authorId="0" ref="H4">
      <text>
        <t xml:space="preserve">0.75, regripless</t>
      </text>
    </comment>
    <comment authorId="0" ref="I4">
      <text>
        <t xml:space="preserve">1.16, 2 regrips or regripless*</t>
      </text>
    </comment>
    <comment authorId="0" ref="J4">
      <text>
        <t xml:space="preserve">0.97, 2 regrips</t>
      </text>
    </comment>
    <comment authorId="0" ref="K4">
      <text>
        <t xml:space="preserve">0.97, 2 regrips</t>
      </text>
    </comment>
    <comment authorId="0" ref="L4">
      <text>
        <t xml:space="preserve">1.24, 2 regrips or regripless*</t>
      </text>
    </comment>
    <comment authorId="0" ref="M4">
      <text>
        <t xml:space="preserve">0.95, 2 regrips</t>
      </text>
    </comment>
    <comment authorId="0" ref="N4">
      <text>
        <t xml:space="preserve">0.68, regripless</t>
      </text>
    </comment>
    <comment authorId="0" ref="O4">
      <text>
        <t xml:space="preserve">0.70, regripless</t>
      </text>
    </comment>
    <comment authorId="0" ref="P4">
      <text>
        <t xml:space="preserve">0.69, 2 regrips</t>
      </text>
    </comment>
    <comment authorId="0" ref="Q4">
      <text>
        <t xml:space="preserve">0.65, regripless</t>
      </text>
    </comment>
    <comment authorId="0" ref="S4">
      <text>
        <t xml:space="preserve">0.66, regripless</t>
      </text>
    </comment>
    <comment authorId="0" ref="T4">
      <text>
        <t xml:space="preserve">0.73, regripless</t>
      </text>
    </comment>
    <comment authorId="0" ref="U4">
      <text>
        <t xml:space="preserve">0.71, regripless</t>
      </text>
    </comment>
    <comment authorId="0" ref="V4">
      <text>
        <t xml:space="preserve">0.94, 2 regrips</t>
      </text>
    </comment>
    <comment authorId="0" ref="B5">
      <text>
        <t xml:space="preserve">0.73, regripless</t>
      </text>
    </comment>
    <comment authorId="0" ref="C5">
      <text>
        <t xml:space="preserve">1.10, 2 regrips</t>
      </text>
    </comment>
    <comment authorId="0" ref="F5">
      <text>
        <t xml:space="preserve">0.96, 4 regrips?</t>
      </text>
    </comment>
    <comment authorId="0" ref="G5">
      <text>
        <t xml:space="preserve">1.11, regripless</t>
      </text>
    </comment>
    <comment authorId="0" ref="H5">
      <text>
        <t xml:space="preserve">0.95, regripless</t>
      </text>
    </comment>
    <comment authorId="0" ref="I5">
      <text>
        <t xml:space="preserve">1.03, regripless</t>
      </text>
    </comment>
    <comment authorId="0" ref="J5">
      <text>
        <t xml:space="preserve">0.92, 2 regrips?</t>
      </text>
    </comment>
    <comment authorId="0" ref="K5">
      <text>
        <t xml:space="preserve">1.28, 2 regrips</t>
      </text>
    </comment>
    <comment authorId="0" ref="L5">
      <text>
        <t xml:space="preserve">1.08, regripless</t>
      </text>
    </comment>
    <comment authorId="0" ref="M5">
      <text>
        <t xml:space="preserve">0.80, 4 regrips?</t>
      </text>
    </comment>
    <comment authorId="0" ref="N5">
      <text>
        <t xml:space="preserve">1.01, regripless</t>
      </text>
    </comment>
    <comment authorId="0" ref="O5">
      <text>
        <t xml:space="preserve">apparently &lt;RUL&gt; is optimal, but I got the rotation alg in 0.75 and I can't see myself ever getting &lt;RUL&gt; that fast lol
2 regrips</t>
      </text>
    </comment>
    <comment authorId="0" ref="P5">
      <text>
        <t xml:space="preserve">0.94, 2 regrips or regripless*</t>
      </text>
    </comment>
    <comment authorId="0" ref="T5">
      <text>
        <t xml:space="preserve">0.98, regripless</t>
      </text>
    </comment>
    <comment authorId="0" ref="V6">
      <text>
        <t xml:space="preserve">1.37, regripless</t>
      </text>
    </comment>
    <comment authorId="0" ref="M8">
      <text>
        <t xml:space="preserve">1.08, regripless</t>
      </text>
    </comment>
    <comment authorId="0" ref="C9">
      <text>
        <t xml:space="preserve">1.27, regripless</t>
      </text>
    </comment>
    <comment authorId="0" ref="D10">
      <text>
        <t xml:space="preserve">0.97, 2 regrips</t>
      </text>
    </comment>
    <comment authorId="0" ref="V10">
      <text>
        <t xml:space="preserve">0.89, 0 regrips</t>
      </text>
    </comment>
    <comment authorId="0" ref="C13">
      <text>
        <t xml:space="preserve">1.12</t>
      </text>
    </comment>
    <comment authorId="0" ref="K13">
      <text>
        <t xml:space="preserve">0.82, regripless</t>
      </text>
    </comment>
    <comment authorId="0" ref="M17">
      <text>
        <t xml:space="preserve">1.03, regripless</t>
      </text>
    </comment>
    <comment authorId="0" ref="E20">
      <text>
        <t xml:space="preserve">1.08, regripless</t>
      </text>
    </comment>
    <comment authorId="0" ref="D22">
      <text>
        <t xml:space="preserve">0.91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1.11, regripless</t>
      </text>
    </comment>
    <comment authorId="0" ref="C3">
      <text>
        <t xml:space="preserve">1.48, 2 regrips</t>
      </text>
    </comment>
    <comment authorId="0" ref="D3">
      <text>
        <t xml:space="preserve">1.27</t>
      </text>
    </comment>
    <comment authorId="0" ref="E3">
      <text>
        <t xml:space="preserve">1.23, regripless</t>
      </text>
    </comment>
    <comment authorId="0" ref="F3">
      <text>
        <t xml:space="preserve">1.19, regripless</t>
      </text>
    </comment>
    <comment authorId="0" ref="G3">
      <text>
        <t xml:space="preserve">1.17, regripless</t>
      </text>
    </comment>
    <comment authorId="0" ref="H3">
      <text>
        <t xml:space="preserve">1.12, regripless</t>
      </text>
    </comment>
    <comment authorId="0" ref="B7">
      <text>
        <t xml:space="preserve">1.18, regripless</t>
      </text>
    </comment>
    <comment authorId="0" ref="C7">
      <text>
        <t xml:space="preserve">1.45, 2 regrips</t>
      </text>
    </comment>
    <comment authorId="0" ref="D7">
      <text>
        <t xml:space="preserve">1.46, regripless</t>
      </text>
    </comment>
    <comment authorId="0" ref="E7">
      <text>
        <t xml:space="preserve">1.17, regripless</t>
      </text>
    </comment>
    <comment authorId="0" ref="F7">
      <text>
        <t xml:space="preserve">1.19, regripless</t>
      </text>
    </comment>
    <comment authorId="0" ref="G7">
      <text>
        <t xml:space="preserve">1.13, regripless</t>
      </text>
    </comment>
    <comment authorId="0" ref="H7">
      <text>
        <t xml:space="preserve">1.19, regripless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
[U2, R' D R D' R' D R]?</t>
      </text>
    </comment>
    <comment authorId="0" ref="B7">
      <text>
        <t xml:space="preserve">
[R' D R D' R' D R, U2]?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0">
      <text>
        <t xml:space="preserve">0.89, regripless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uU' end</t>
      </text>
    </comment>
    <comment authorId="0" ref="W3">
      <text>
        <t xml:space="preserve">1.35</t>
      </text>
    </comment>
    <comment authorId="0" ref="I4">
      <text>
        <t xml:space="preserve">2.05</t>
      </text>
    </comment>
    <comment authorId="0" ref="N5">
      <text>
        <t xml:space="preserve">1.43</t>
      </text>
    </comment>
    <comment authorId="0" ref="O5">
      <text>
        <t xml:space="preserve">1.73</t>
      </text>
    </comment>
    <comment authorId="0" ref="P5">
      <text>
        <t xml:space="preserve">1.48</t>
      </text>
    </comment>
    <comment authorId="0" ref="R5">
      <text>
        <t xml:space="preserve">2.18</t>
      </text>
    </comment>
    <comment authorId="0" ref="W5">
      <text>
        <t xml:space="preserve">1.89</t>
      </text>
    </comment>
    <comment authorId="0" ref="S15">
      <text>
        <t xml:space="preserve">1.99</t>
      </text>
    </comment>
    <comment authorId="0" ref="B19">
      <text>
        <t xml:space="preserve">u'U start</t>
      </text>
    </comment>
    <comment authorId="0" ref="M19">
      <text>
        <t xml:space="preserve">1.54</t>
      </text>
    </comment>
    <comment authorId="0" ref="C23">
      <text>
        <t xml:space="preserve">1.35</t>
      </text>
    </comment>
    <comment authorId="0" ref="G24">
      <text>
        <t xml:space="preserve">1.48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same as F parity, but cancellations</t>
      </text>
    </comment>
    <comment authorId="0" ref="C7">
      <text>
        <t xml:space="preserve">same as B parity, but cancellations</t>
      </text>
    </comment>
    <comment authorId="0" ref="E9">
      <text>
        <t xml:space="preserve">roll the last R2</t>
      </text>
    </comment>
    <comment authorId="0" ref="E15">
      <text>
        <t xml:space="preserve">roll the last R2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M2 U M2 U M' U2 M2 U2 M' U2</t>
      </text>
    </comment>
    <comment authorId="0" ref="B5">
      <text>
        <t xml:space="preserve">R' grip start</t>
      </text>
    </comment>
    <comment authorId="0" ref="B8">
      <text>
        <t xml:space="preserve">(r2 U' R2 B2)2 is marginally slower imo</t>
      </text>
    </comment>
    <comment authorId="0" ref="B9">
      <text>
        <t xml:space="preserve">S' M' U M S U M' U2 M
M' U2 M U' M' S' U' S M
M' U2 M U' S' M' U' M S
D' to UF-DF alg?</t>
      </text>
    </comment>
    <comment authorId="0" ref="E11">
      <text>
        <t xml:space="preserve">regrip during first D, so really more like 1 regrip</t>
      </text>
    </comment>
    <comment authorId="0" ref="B12">
      <text>
        <t xml:space="preserve">R regrip at start, U' right index</t>
      </text>
    </comment>
    <comment authorId="0" ref="B13">
      <text>
        <t xml:space="preserve">CE alg was actually R B' R' S' R B R' U' S U
inverse?
D' to DF-FU 2e2e?
</t>
      </text>
    </comment>
    <comment authorId="0" ref="B15">
      <text>
        <t xml:space="preserve">R U B U' B' R2 U' F' U F R
S' L F' E F E' F L' S R U' R'
R' F' R' F U R2 B U B' U' R'</t>
      </text>
    </comment>
    <comment authorId="0" ref="B16">
      <text>
        <t xml:space="preserve">U' F R2 S R' S' E' R' E F U'</t>
      </text>
    </comment>
    <comment authorId="0" ref="B19">
      <text>
        <t xml:space="preserve">U S U L F' L' S' L F L' U2
U S R' F' R U S' U' R' F R U'</t>
      </text>
    </comment>
    <comment authorId="0" ref="B21">
      <text>
        <t xml:space="preserve">R regrip start</t>
      </text>
    </comment>
    <comment authorId="0" ref="B23">
      <text>
        <t xml:space="preserve">U L F2 U R U' R' F2 U' L'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air conditioning or alternating current, whatever works
alt: acorn</t>
      </text>
    </comment>
    <comment authorId="0" ref="E2">
      <text>
        <t xml:space="preserve">alt: addition</t>
      </text>
    </comment>
    <comment authorId="0" ref="G2">
      <text>
        <t xml:space="preserve">alt: afro</t>
      </text>
    </comment>
    <comment authorId="0" ref="I2">
      <text>
        <t xml:space="preserve">alt: ashtray</t>
      </text>
    </comment>
    <comment authorId="0" ref="K2">
      <text>
        <t xml:space="preserve">a friend</t>
      </text>
    </comment>
    <comment authorId="0" ref="P2">
      <text>
        <t xml:space="preserve">a friend
alt: aolong</t>
      </text>
    </comment>
    <comment authorId="0" ref="Q2">
      <text>
        <t xml:space="preserve">alts: apron, application</t>
      </text>
    </comment>
    <comment authorId="0" ref="R2">
      <text>
        <t xml:space="preserve">alt: "ayy Quinn"</t>
      </text>
    </comment>
    <comment authorId="0" ref="S2">
      <text>
        <t xml:space="preserve">art</t>
      </text>
    </comment>
    <comment authorId="0" ref="U2">
      <text>
        <t xml:space="preserve">alt: ATM</t>
      </text>
    </comment>
    <comment authorId="0" ref="W2">
      <text>
        <t xml:space="preserve">Anthony Van Engelen
alt: Avatar</t>
      </text>
    </comment>
    <comment authorId="0" ref="Y2">
      <text>
        <t xml:space="preserve">a friend</t>
      </text>
    </comment>
    <comment authorId="0" ref="B3">
      <text>
        <t xml:space="preserve">like a lamb :p</t>
      </text>
    </comment>
    <comment authorId="0" ref="E3">
      <text>
        <t xml:space="preserve">or Breaking Bad cast?</t>
      </text>
    </comment>
    <comment authorId="0" ref="J3">
      <text>
        <t xml:space="preserve">or bipolar?</t>
      </text>
    </comment>
    <comment authorId="0" ref="O3">
      <text>
        <t xml:space="preserve">alt: bone</t>
      </text>
    </comment>
    <comment authorId="0" ref="R3">
      <text>
        <t xml:space="preserve">alt: Burger Queen</t>
      </text>
    </comment>
    <comment authorId="0" ref="U3">
      <text>
        <t xml:space="preserve">animal or baseball. Also bet</t>
      </text>
    </comment>
    <comment authorId="0" ref="V3">
      <text>
        <t xml:space="preserve">from Super Mario</t>
      </text>
    </comment>
    <comment authorId="0" ref="W3">
      <text>
        <t xml:space="preserve">alt: brave</t>
      </text>
    </comment>
    <comment authorId="0" ref="Y3">
      <text>
        <t xml:space="preserve">alt: belay</t>
      </text>
    </comment>
    <comment authorId="0" ref="E4">
      <text>
        <t xml:space="preserve">alt: CD</t>
      </text>
    </comment>
    <comment authorId="0" ref="F4">
      <text>
        <t xml:space="preserve">a friend</t>
      </text>
    </comment>
    <comment authorId="0" ref="G4">
      <text>
        <t xml:space="preserve">like handcuffs. Shirt cuffs works too</t>
      </text>
    </comment>
    <comment authorId="0" ref="K4">
      <text>
        <t xml:space="preserve">or CJ Tambornino</t>
      </text>
    </comment>
    <comment authorId="0" ref="L4">
      <text>
        <t xml:space="preserve">alt: cock, like a chicken, or clock</t>
      </text>
    </comment>
    <comment authorId="0" ref="M4">
      <text>
        <t xml:space="preserve">with a phone</t>
      </text>
    </comment>
    <comment authorId="0" ref="R4">
      <text>
        <t xml:space="preserve">little quail passenger lol</t>
      </text>
    </comment>
    <comment authorId="0" ref="T4">
      <text>
        <t xml:space="preserve">alt: curse</t>
      </text>
    </comment>
    <comment authorId="0" ref="U4">
      <text>
        <t xml:space="preserve">alt: cut</t>
      </text>
    </comment>
    <comment authorId="0" ref="Y4">
      <text>
        <t xml:space="preserve">alt: coy</t>
      </text>
    </comment>
    <comment authorId="0" ref="F5">
      <text>
        <t xml:space="preserve">from Rugrats</t>
      </text>
    </comment>
    <comment authorId="0" ref="H5">
      <text>
        <t xml:space="preserve">or dog</t>
      </text>
    </comment>
    <comment authorId="0" ref="J5">
      <text>
        <t xml:space="preserve">alt: die or dye</t>
      </text>
    </comment>
    <comment authorId="0" ref="L5">
      <text>
        <t xml:space="preserve">like a penis, probably should use Dick Ramos instead</t>
      </text>
    </comment>
    <comment authorId="0" ref="M5">
      <text>
        <t xml:space="preserve">or deal</t>
      </text>
    </comment>
    <comment authorId="0" ref="Q5">
      <text>
        <t xml:space="preserve">like the chewing tobacco, also dip the verb
alt: diaper</t>
      </text>
    </comment>
    <comment authorId="0" ref="T5">
      <text>
        <t xml:space="preserve">like insulting
alt: gameboy DS or distressed</t>
      </text>
    </comment>
    <comment authorId="0" ref="U5">
      <text>
        <t xml:space="preserve">or just put dots on whatever</t>
      </text>
    </comment>
    <comment authorId="0" ref="V5">
      <text>
        <t xml:space="preserve">could also use Dudley from Harry Potter</t>
      </text>
    </comment>
    <comment authorId="0" ref="W5">
      <text>
        <t xml:space="preserve">alt: dove</t>
      </text>
    </comment>
    <comment authorId="0" ref="E6">
      <text>
        <t xml:space="preserve">from Ed, Edd and Eddy</t>
      </text>
    </comment>
    <comment authorId="0" ref="I6">
      <text>
        <t xml:space="preserve">alt: etch-a-sketch</t>
      </text>
    </comment>
    <comment authorId="0" ref="N6">
      <text>
        <t xml:space="preserve">mom's nickname</t>
      </text>
    </comment>
    <comment authorId="0" ref="O6">
      <text>
        <t xml:space="preserve">from Ender's Game</t>
      </text>
    </comment>
    <comment authorId="0" ref="P6">
      <text>
        <t xml:space="preserve">edge-orientation</t>
      </text>
    </comment>
    <comment authorId="0" ref="Q6">
      <text>
        <t xml:space="preserve">could be ep like a hoe/bitty/slut, or episode, or EP (extended play)</t>
      </text>
    </comment>
    <comment authorId="0" ref="R6">
      <text>
        <t xml:space="preserve">seems like a bad visual but i always picture a bunch of social justice fighters, usually works. Equals sign maybe also?</t>
      </text>
    </comment>
    <comment authorId="0" ref="T6">
      <text>
        <t xml:space="preserve">the shoe company</t>
      </text>
    </comment>
    <comment authorId="0" ref="U6">
      <text>
        <t xml:space="preserve">alt: E.T. the alien</t>
      </text>
    </comment>
    <comment authorId="0" ref="X6">
      <text>
        <t xml:space="preserve">alt: "ewwwwww"</t>
      </text>
    </comment>
    <comment authorId="0" ref="Y6">
      <text>
        <t xml:space="preserve">a friend</t>
      </text>
    </comment>
    <comment authorId="0" ref="C7">
      <text>
        <t xml:space="preserve">alt: fob</t>
      </text>
    </comment>
    <comment authorId="0" ref="D7">
      <text>
        <t xml:space="preserve">just picture an FMC paper</t>
      </text>
    </comment>
    <comment authorId="0" ref="M7">
      <text>
        <t xml:space="preserve">alt: flute</t>
      </text>
    </comment>
    <comment authorId="0" ref="S7">
      <text>
        <t xml:space="preserve">alt: fire, four</t>
      </text>
    </comment>
    <comment authorId="0" ref="W7">
      <text>
        <t xml:space="preserve">alt: favorite</t>
      </text>
    </comment>
    <comment authorId="0" ref="X7">
      <text>
        <t xml:space="preserve">few is faster for audio</t>
      </text>
    </comment>
    <comment authorId="0" ref="Y7">
      <text>
        <t xml:space="preserve">a friend</t>
      </text>
    </comment>
    <comment authorId="0" ref="I8">
      <text>
        <t xml:space="preserve">a friend</t>
      </text>
    </comment>
    <comment authorId="0" ref="K8">
      <text>
        <t xml:space="preserve">alt: inspector gadget</t>
      </text>
    </comment>
    <comment authorId="0" ref="Q8">
      <text>
        <t xml:space="preserve">skate spot? or the clothing store</t>
      </text>
    </comment>
    <comment authorId="0" ref="S8">
      <text>
        <t xml:space="preserve">could be blood and guts, or Al Gore</t>
      </text>
    </comment>
    <comment authorId="0" ref="U8">
      <text>
        <t xml:space="preserve">alt: goat</t>
      </text>
    </comment>
    <comment authorId="0" ref="W8">
      <text>
        <t xml:space="preserve">alt: gavel</t>
      </text>
    </comment>
    <comment authorId="0" ref="C9">
      <text>
        <t xml:space="preserve">alt: hobbit</t>
      </text>
    </comment>
    <comment authorId="0" ref="D9">
      <text>
        <t xml:space="preserve">like hardcore music kids</t>
      </text>
    </comment>
    <comment authorId="0" ref="J9">
      <text>
        <t xml:space="preserve">like on drugs</t>
      </text>
    </comment>
    <comment authorId="0" ref="L9">
      <text>
        <t xml:space="preserve">or hickey</t>
      </text>
    </comment>
    <comment authorId="0" ref="M9">
      <text>
        <t xml:space="preserve">alt: hill, hell, helmet</t>
      </text>
    </comment>
    <comment authorId="0" ref="N9">
      <text>
        <t xml:space="preserve">alt: ham</t>
      </text>
    </comment>
    <comment authorId="0" ref="Q9">
      <text>
        <t xml:space="preserve">or Harry Potter</t>
      </text>
    </comment>
    <comment authorId="0" ref="S9">
      <text>
        <t xml:space="preserve">alt: hear</t>
      </text>
    </comment>
    <comment authorId="0" ref="T9">
      <text>
        <t xml:space="preserve">alt: hiss</t>
      </text>
    </comment>
    <comment authorId="0" ref="U9">
      <text>
        <t xml:space="preserve">alt: heart</t>
      </text>
    </comment>
    <comment authorId="0" ref="Y9">
      <text>
        <t xml:space="preserve">alt: "hey", or hay</t>
      </text>
    </comment>
    <comment authorId="0" ref="D10">
      <text>
        <t xml:space="preserve">the rapper
also integrated circuit?</t>
      </text>
    </comment>
    <comment authorId="0" ref="H10">
      <text>
        <t xml:space="preserve">alt: igloo</t>
      </text>
    </comment>
    <comment authorId="0" ref="I10">
      <text>
        <t xml:space="preserve">a friend</t>
      </text>
    </comment>
    <comment authorId="0" ref="L10">
      <text>
        <t xml:space="preserve">alt: "ick"</t>
      </text>
    </comment>
    <comment authorId="0" ref="O10">
      <text>
        <t xml:space="preserve">alt: insect</t>
      </text>
    </comment>
    <comment authorId="0" ref="P10">
      <text>
        <t xml:space="preserve">Jupiter's moon</t>
      </text>
    </comment>
    <comment authorId="0" ref="Q10">
      <text>
        <t xml:space="preserve">alt: IP address</t>
      </text>
    </comment>
    <comment authorId="0" ref="S10">
      <text>
        <t xml:space="preserve">ironing board (element is too similar to silver)</t>
      </text>
    </comment>
    <comment authorId="0" ref="T10">
      <text>
        <t xml:space="preserve">alt: ice skates</t>
      </text>
    </comment>
    <comment authorId="0" ref="U10">
      <text>
        <t xml:space="preserve">either Cousin It or Pennywise</t>
      </text>
    </comment>
    <comment authorId="0" ref="Y10">
      <text>
        <t xml:space="preserve">like a slushie</t>
      </text>
    </comment>
    <comment authorId="0" ref="D11">
      <text>
        <t xml:space="preserve">from N'Sync</t>
      </text>
    </comment>
    <comment authorId="0" ref="E11">
      <text>
        <t xml:space="preserve">couldnt think of any Jeds so I just used Jeb Bush lol</t>
      </text>
    </comment>
    <comment authorId="0" ref="G11">
      <text>
        <t xml:space="preserve">a friend</t>
      </text>
    </comment>
    <comment authorId="0" ref="I11">
      <text>
        <t xml:space="preserve">a friend</t>
      </text>
    </comment>
    <comment authorId="0" ref="J11">
      <text>
        <t xml:space="preserve">friend from high school</t>
      </text>
    </comment>
    <comment authorId="0" ref="L11">
      <text>
        <t xml:space="preserve">a friend</t>
      </text>
    </comment>
    <comment authorId="0" ref="N11">
      <text>
        <t xml:space="preserve">like the food, or like a music session</t>
      </text>
    </comment>
    <comment authorId="0" ref="P11">
      <text>
        <t xml:space="preserve">a friend</t>
      </text>
    </comment>
    <comment authorId="0" ref="Q11">
      <text>
        <t xml:space="preserve">alt: jeep</t>
      </text>
    </comment>
    <comment authorId="0" ref="T11">
      <text>
        <t xml:space="preserve">sister's friend</t>
      </text>
    </comment>
    <comment authorId="0" ref="U11">
      <text>
        <t xml:space="preserve">friend named Jet, also jet plane works too</t>
      </text>
    </comment>
    <comment authorId="0" ref="V11">
      <text>
        <t xml:space="preserve">a friend
alt: juice</t>
      </text>
    </comment>
    <comment authorId="0" ref="W11">
      <text>
        <t xml:space="preserve">picture the jive-speakers from the movie Airplane!
alt: javelin</t>
      </text>
    </comment>
    <comment authorId="0" ref="X11">
      <text>
        <t xml:space="preserve">alt: jew</t>
      </text>
    </comment>
    <comment authorId="0" ref="D12">
      <text>
        <t xml:space="preserve">friend's girlfriend. Could also use KC and the sunshine band</t>
      </text>
    </comment>
    <comment authorId="0" ref="F12">
      <text>
        <t xml:space="preserve">a friend
alt: key</t>
      </text>
    </comment>
    <comment authorId="0" ref="G12">
      <text>
        <t xml:space="preserve">either the weed sprinkle or Chief Keef</t>
      </text>
    </comment>
    <comment authorId="0" ref="I12">
      <text>
        <t xml:space="preserve">alt: ketchup</t>
      </text>
    </comment>
    <comment authorId="0" ref="J12">
      <text>
        <t xml:space="preserve">a friend</t>
      </text>
    </comment>
    <comment authorId="0" ref="M12">
      <text>
        <t xml:space="preserve">alt: klein bottle</t>
      </text>
    </comment>
    <comment authorId="0" ref="N12">
      <text>
        <t xml:space="preserve">a friend
alt: Kim Possible</t>
      </text>
    </comment>
    <comment authorId="0" ref="O12">
      <text>
        <t xml:space="preserve">alt: kennel</t>
      </text>
    </comment>
    <comment authorId="0" ref="Q12">
      <text>
        <t xml:space="preserve">from Napoleon Dynamite</t>
      </text>
    </comment>
    <comment authorId="0" ref="S12">
      <text>
        <t xml:space="preserve">alt: Kirby</t>
      </text>
    </comment>
    <comment authorId="0" ref="V12">
      <text>
        <t xml:space="preserve">like a crazy person</t>
      </text>
    </comment>
    <comment authorId="0" ref="F13">
      <text>
        <t xml:space="preserve">a friend</t>
      </text>
    </comment>
    <comment authorId="0" ref="G13">
      <text>
        <t xml:space="preserve">or the board game Life</t>
      </text>
    </comment>
    <comment authorId="0" ref="I13">
      <text>
        <t xml:space="preserve">from Agents of Shield. Leash works too</t>
      </text>
    </comment>
    <comment authorId="0" ref="L13">
      <text>
        <t xml:space="preserve">alt: lock</t>
      </text>
    </comment>
    <comment authorId="0" ref="P13">
      <text>
        <t xml:space="preserve">from "The O.C." lol</t>
      </text>
    </comment>
    <comment authorId="0" ref="S13">
      <text>
        <t xml:space="preserve">alt: leer</t>
      </text>
    </comment>
    <comment authorId="0" ref="T13">
      <text>
        <t xml:space="preserve">like the generic Pokemon character lol</t>
      </text>
    </comment>
    <comment authorId="0" ref="V13">
      <text>
        <t xml:space="preserve">sister's dog</t>
      </text>
    </comment>
    <comment authorId="0" ref="X13">
      <text>
        <t xml:space="preserve">just picture a lawbook
alt: lawyer</t>
      </text>
    </comment>
    <comment authorId="0" ref="Y13">
      <text>
        <t xml:space="preserve">laying down, or a hawaiian lay</t>
      </text>
    </comment>
    <comment authorId="0" ref="E14">
      <text>
        <t xml:space="preserve">alt: maid, mud</t>
      </text>
    </comment>
    <comment authorId="0" ref="G14">
      <text>
        <t xml:space="preserve">alt: muffin</t>
      </text>
    </comment>
    <comment authorId="0" ref="L14">
      <text>
        <t xml:space="preserve">a friend</t>
      </text>
    </comment>
    <comment authorId="0" ref="P14">
      <text>
        <t xml:space="preserve">alt: moon</t>
      </text>
    </comment>
    <comment authorId="0" ref="T14">
      <text>
        <t xml:space="preserve">alt: moss</t>
      </text>
    </comment>
    <comment authorId="0" ref="W14">
      <text>
        <t xml:space="preserve">character in Skyrim from Riften</t>
      </text>
    </comment>
    <comment authorId="0" ref="Y14">
      <text>
        <t xml:space="preserve">from Agents of Shield</t>
      </text>
    </comment>
    <comment authorId="0" ref="E15">
      <text>
        <t xml:space="preserve">from Game of Thrones (RIP)</t>
      </text>
    </comment>
    <comment authorId="0" ref="G15">
      <text>
        <t xml:space="preserve">alt: knife</t>
      </text>
    </comment>
    <comment authorId="0" ref="H15">
      <text>
        <t xml:space="preserve">of weed, or gold</t>
      </text>
    </comment>
    <comment authorId="0" ref="K15">
      <text>
        <t xml:space="preserve">alt: New Jersey</t>
      </text>
    </comment>
    <comment authorId="0" ref="L15">
      <text>
        <t xml:space="preserve">a friend</t>
      </text>
    </comment>
    <comment authorId="0" ref="N15">
      <text>
        <t xml:space="preserve">alt: nomnomnom</t>
      </text>
    </comment>
    <comment authorId="0" ref="P15">
      <text>
        <t xml:space="preserve">or "no", whatever works</t>
      </text>
    </comment>
    <comment authorId="0" ref="Q15">
      <text>
        <t xml:space="preserve">alt: nipple</t>
      </text>
    </comment>
    <comment authorId="0" ref="S15">
      <text>
        <t xml:space="preserve">alt: nurse</t>
      </text>
    </comment>
    <comment authorId="0" ref="W15">
      <text>
        <t xml:space="preserve">like on an orange</t>
      </text>
    </comment>
    <comment authorId="0" ref="X15">
      <text>
        <t xml:space="preserve">alt: now, could picture the annoying cd compilation series "NOW! THATS WHAT I CALL MUSIC" lol</t>
      </text>
    </comment>
    <comment authorId="0" ref="Y15">
      <text>
        <t xml:space="preserve">or maybe a horse going "nayyy"</t>
      </text>
    </comment>
    <comment authorId="0" ref="B16">
      <text>
        <t xml:space="preserve">Optical Society of America</t>
      </text>
    </comment>
    <comment authorId="0" ref="M16">
      <text>
        <t xml:space="preserve">alt: OLL</t>
      </text>
    </comment>
    <comment authorId="0" ref="N16">
      <text>
        <t xml:space="preserve">someone meditating
alt: omelette</t>
      </text>
    </comment>
    <comment authorId="0" ref="T16">
      <text>
        <t xml:space="preserve">picture an iPhone</t>
      </text>
    </comment>
    <comment authorId="0" ref="V16">
      <text>
        <t xml:space="preserve">alt: outlaw</t>
      </text>
    </comment>
    <comment authorId="0" ref="W16">
      <text>
        <t xml:space="preserve">alt: olive</t>
      </text>
    </comment>
    <comment authorId="0" ref="X16">
      <text>
        <t xml:space="preserve">alt: owl</t>
      </text>
    </comment>
    <comment authorId="0" ref="B17">
      <text>
        <t xml:space="preserve">stepdad, or grandpa</t>
      </text>
    </comment>
    <comment authorId="0" ref="C17">
      <text>
        <t xml:space="preserve">alt: PB (personal best)</t>
      </text>
    </comment>
    <comment authorId="0" ref="D17">
      <text>
        <t xml:space="preserve">physics and astronomy club
alt: popcorn</t>
      </text>
    </comment>
    <comment authorId="0" ref="G17">
      <text>
        <t xml:space="preserve">like smoking
also p. diddy a.k.a. "puffy"</t>
      </text>
    </comment>
    <comment authorId="0" ref="J17">
      <text>
        <t xml:space="preserve">alt: pi</t>
      </text>
    </comment>
    <comment authorId="0" ref="K17">
      <text>
        <t xml:space="preserve">a friend
alt: pajamas</t>
      </text>
    </comment>
    <comment authorId="0" ref="N17">
      <text>
        <t xml:space="preserve">from The Office, or the cooking spray</t>
      </text>
    </comment>
    <comment authorId="0" ref="S17">
      <text>
        <t xml:space="preserve">alt: pear</t>
      </text>
    </comment>
    <comment authorId="0" ref="U17">
      <text>
        <t xml:space="preserve">alt: pot</t>
      </text>
    </comment>
    <comment authorId="0" ref="X17">
      <text>
        <t xml:space="preserve">alt: pawn, punch</t>
      </text>
    </comment>
    <comment authorId="0" ref="E18">
      <text>
        <t xml:space="preserve">like the 4 wheeler</t>
      </text>
    </comment>
    <comment authorId="0" ref="H18">
      <text>
        <t xml:space="preserve">from Family Guy</t>
      </text>
    </comment>
    <comment authorId="0" ref="V18">
      <text>
        <t xml:space="preserve">like the tangerines</t>
      </text>
    </comment>
    <comment authorId="0" ref="Y18">
      <text>
        <t xml:space="preserve">like qyoooooob</t>
      </text>
    </comment>
    <comment authorId="0" ref="E19">
      <text>
        <t xml:space="preserve">alt: radio</t>
      </text>
    </comment>
    <comment authorId="0" ref="F19">
      <text>
        <t xml:space="preserve">or real skate team if i need to distinguish from skateboard for SB</t>
      </text>
    </comment>
    <comment authorId="0" ref="G19">
      <text>
        <t xml:space="preserve">or reef</t>
      </text>
    </comment>
    <comment authorId="0" ref="I19">
      <text>
        <t xml:space="preserve">alt: rhino</t>
      </text>
    </comment>
    <comment authorId="0" ref="J19">
      <text>
        <t xml:space="preserve">a friend</t>
      </text>
    </comment>
    <comment authorId="0" ref="Q19">
      <text>
        <t xml:space="preserve">alt: rope</t>
      </text>
    </comment>
    <comment authorId="0" ref="W19">
      <text>
        <t xml:space="preserve">alt: raven</t>
      </text>
    </comment>
    <comment authorId="0" ref="X19">
      <text>
        <t xml:space="preserve">picture raw fish
alt: row, like an oar</t>
      </text>
    </comment>
    <comment authorId="0" ref="Y19">
      <text>
        <t xml:space="preserve">a friend</t>
      </text>
    </comment>
    <comment authorId="0" ref="D20">
      <text>
        <t xml:space="preserve">alt: scarecrow</t>
      </text>
    </comment>
    <comment authorId="0" ref="E20">
      <text>
        <t xml:space="preserve">alt: soda, sd card</t>
      </text>
    </comment>
    <comment authorId="0" ref="I20">
      <text>
        <t xml:space="preserve">alt: shampoo</t>
      </text>
    </comment>
    <comment authorId="0" ref="J20">
      <text>
        <t xml:space="preserve">or Sierra Tello?</t>
      </text>
    </comment>
    <comment authorId="0" ref="K20">
      <text>
        <t xml:space="preserve">alt: sludge, sledgehammer</t>
      </text>
    </comment>
    <comment authorId="0" ref="L20">
      <text>
        <t xml:space="preserve">alt: sock, sick</t>
      </text>
    </comment>
    <comment authorId="0" ref="N20">
      <text>
        <t xml:space="preserve">My uncle lol</t>
      </text>
    </comment>
    <comment authorId="0" ref="P20">
      <text>
        <t xml:space="preserve">alt: soothe, "so?"</t>
      </text>
    </comment>
    <comment authorId="0" ref="Q20">
      <text>
        <t xml:space="preserve">alt: spagett!!!!!</t>
      </text>
    </comment>
    <comment authorId="0" ref="U20">
      <text>
        <t xml:space="preserve">alt: salt</t>
      </text>
    </comment>
    <comment authorId="0" ref="B21">
      <text>
        <t xml:space="preserve">or TSA?</t>
      </text>
    </comment>
    <comment authorId="0" ref="C21">
      <text>
        <t xml:space="preserve">from a soda can? or tabs of acid :p
alt: table</t>
      </text>
    </comment>
    <comment authorId="0" ref="E21">
      <text>
        <t xml:space="preserve">Dad's friend</t>
      </text>
    </comment>
    <comment authorId="0" ref="G21">
      <text>
        <t xml:space="preserve">or tough</t>
      </text>
    </comment>
    <comment authorId="0" ref="H21">
      <text>
        <t xml:space="preserve">alt: tag, tiger</t>
      </text>
    </comment>
    <comment authorId="0" ref="I21">
      <text>
        <t xml:space="preserve">or touch</t>
      </text>
    </comment>
    <comment authorId="0" ref="L21">
      <text>
        <t xml:space="preserve">alt: ticket</t>
      </text>
    </comment>
    <comment authorId="0" ref="M21">
      <text>
        <t xml:space="preserve">also tall, tail</t>
      </text>
    </comment>
    <comment authorId="0" ref="N21">
      <text>
        <t xml:space="preserve">cat from Tom &amp; Jerry</t>
      </text>
    </comment>
    <comment authorId="0" ref="Q21">
      <text>
        <t xml:space="preserve">or tap</t>
      </text>
    </comment>
    <comment authorId="0" ref="T21">
      <text>
        <t xml:space="preserve">from "Oceans'" series (Julia Roberts' character)</t>
      </text>
    </comment>
    <comment authorId="0" ref="W21">
      <text>
        <t xml:space="preserve">or tavern</t>
      </text>
    </comment>
    <comment authorId="0" ref="Y21">
      <text>
        <t xml:space="preserve">a friend</t>
      </text>
    </comment>
    <comment authorId="0" ref="C22">
      <text>
        <t xml:space="preserve">Game of Thrones</t>
      </text>
    </comment>
    <comment authorId="0" ref="D22">
      <text>
        <t xml:space="preserve">alt: university of CA</t>
      </text>
    </comment>
    <comment authorId="0" ref="E22">
      <text>
        <t xml:space="preserve">alt: under</t>
      </text>
    </comment>
    <comment authorId="0" ref="T22">
      <text>
        <t xml:space="preserve">alt: USB</t>
      </text>
    </comment>
    <comment authorId="0" ref="F23">
      <text>
        <t xml:space="preserve">a friend</t>
      </text>
    </comment>
    <comment authorId="0" ref="L23">
      <text>
        <t xml:space="preserve">from Fairly Odd Parent</t>
      </text>
    </comment>
    <comment authorId="0" ref="N23">
      <text>
        <t xml:space="preserve">alt: vimeo</t>
      </text>
    </comment>
    <comment authorId="0" ref="P23">
      <text>
        <t xml:space="preserve">a friend</t>
      </text>
    </comment>
    <comment authorId="0" ref="Q23">
      <text>
        <t xml:space="preserve">alt: viper</t>
      </text>
    </comment>
    <comment authorId="0" ref="X23">
      <text>
        <t xml:space="preserve">alt: vow</t>
      </text>
    </comment>
    <comment authorId="0" ref="Y23">
      <text>
        <t xml:space="preserve">like someone's switching things around</t>
      </text>
    </comment>
    <comment authorId="0" ref="G24">
      <text>
        <t xml:space="preserve">waffle</t>
      </text>
    </comment>
    <comment authorId="0" ref="K24">
      <text>
        <t xml:space="preserve">could be like potato wedges, or a wedge block</t>
      </text>
    </comment>
    <comment authorId="0" ref="M24">
      <text>
        <t xml:space="preserve">a friend</t>
      </text>
    </comment>
    <comment authorId="0" ref="P24">
      <text>
        <t xml:space="preserve">or "woah"</t>
      </text>
    </comment>
    <comment authorId="0" ref="S24">
      <text>
        <t xml:space="preserve">wire</t>
      </text>
    </comment>
    <comment authorId="0" ref="H25">
      <text>
        <t xml:space="preserve">or yogurt</t>
      </text>
    </comment>
    <comment authorId="0" ref="O25">
      <text>
        <t xml:space="preserve">or yawn</t>
      </text>
    </comment>
    <comment authorId="0" ref="T25">
      <text>
        <t xml:space="preserve">the band</t>
      </text>
    </comment>
  </commentList>
</comments>
</file>

<file path=xl/sharedStrings.xml><?xml version="1.0" encoding="utf-8"?>
<sst xmlns="http://schemas.openxmlformats.org/spreadsheetml/2006/main" count="7905" uniqueCount="6528">
  <si>
    <t>first/last</t>
  </si>
  <si>
    <t>A (UB)</t>
  </si>
  <si>
    <t>B (UR)</t>
  </si>
  <si>
    <t>D (UL)</t>
  </si>
  <si>
    <t>F (FR)</t>
  </si>
  <si>
    <t>G (FD)</t>
  </si>
  <si>
    <t>H (FL)</t>
  </si>
  <si>
    <t>I (DF)</t>
  </si>
  <si>
    <t>J (DR)</t>
  </si>
  <si>
    <t>K (DB)</t>
  </si>
  <si>
    <t>L (DL)</t>
  </si>
  <si>
    <t>M (RB)</t>
  </si>
  <si>
    <t>N (RD)</t>
  </si>
  <si>
    <t>O (RF)</t>
  </si>
  <si>
    <t>P (RU)</t>
  </si>
  <si>
    <t>Q (LB)</t>
  </si>
  <si>
    <t>R (LU)</t>
  </si>
  <si>
    <t>S (LF)</t>
  </si>
  <si>
    <t>T (LD)</t>
  </si>
  <si>
    <t>U (BD)</t>
  </si>
  <si>
    <t>V (BR)</t>
  </si>
  <si>
    <t>W (BU)</t>
  </si>
  <si>
    <t>Y (BL)</t>
  </si>
  <si>
    <t>[L2' U : [S', L2]]</t>
  </si>
  <si>
    <t>[S' U : [S', L2]]</t>
  </si>
  <si>
    <t>Last fully updated:</t>
  </si>
  <si>
    <t>[E : [U', R E' R']]</t>
  </si>
  <si>
    <t>[M, D R D']</t>
  </si>
  <si>
    <t>[U' : [S', R' F' R]]</t>
  </si>
  <si>
    <t>[M, D R' D']</t>
  </si>
  <si>
    <t>[M' : [M', U' L U]]</t>
  </si>
  <si>
    <t>[M, D' L D]</t>
  </si>
  <si>
    <t>[U : [R' D' R, S']]</t>
  </si>
  <si>
    <t>[U' : [S, R' F2 R]]</t>
  </si>
  <si>
    <t>[M', U2]</t>
  </si>
  <si>
    <t>[U, M U2 M]</t>
  </si>
  <si>
    <t>[R' F : [R S R', F2]]</t>
  </si>
  <si>
    <t>[UD' L' : [E', L2]]</t>
  </si>
  <si>
    <t>[U'D R : [E, R2]]</t>
  </si>
  <si>
    <t>[R' F : [R S' R', F2]]</t>
  </si>
  <si>
    <t>u2 M' u2 M'</t>
  </si>
  <si>
    <t>[R' F : [R' S' R, F2]]</t>
  </si>
  <si>
    <t>[F : [E, R2]]</t>
  </si>
  <si>
    <t>[R' F : [E, R2]]</t>
  </si>
  <si>
    <t>[R2' F : [E, R2]]</t>
  </si>
  <si>
    <t>[M : u' M' u2 M' u']</t>
  </si>
  <si>
    <t>[F' : [E', L2]]</t>
  </si>
  <si>
    <t>[M : u M' u2 M' u]</t>
  </si>
  <si>
    <t>[L2 F' : [E', L2]]</t>
  </si>
  <si>
    <t>[L F' : [E', L2]]</t>
  </si>
  <si>
    <t>[D' : [S', R F R']]</t>
  </si>
  <si>
    <t>[UD' L : [E, L2]]</t>
  </si>
  <si>
    <t>[U : [R' F' R, S]]</t>
  </si>
  <si>
    <t>[U'D R' : [E', R2]]</t>
  </si>
  <si>
    <t>[U' : [R2, S]]</t>
  </si>
  <si>
    <t>[R U R' : [S, R2]]</t>
  </si>
  <si>
    <t>R' U' R U R U R U' R' U'</t>
  </si>
  <si>
    <t>U2 R U' R' U' R' U' R U R U'</t>
  </si>
  <si>
    <t>[U R' F' R : [S, R2]]</t>
  </si>
  <si>
    <t>[U' R : [E, R2]]</t>
  </si>
  <si>
    <t>[R' F' : [R S' R', F2]]</t>
  </si>
  <si>
    <t>[D' R' F : [R S' R', F2]]</t>
  </si>
  <si>
    <t>[U' : [S', R2]]</t>
  </si>
  <si>
    <t>[u' R' : [E', R2]]</t>
  </si>
  <si>
    <t>[U'E' R : [E, R2]]</t>
  </si>
  <si>
    <t>[S', R' F R]</t>
  </si>
  <si>
    <t>[u' R : [E, R2]]</t>
  </si>
  <si>
    <t>[r : [L E L', U]]</t>
  </si>
  <si>
    <t>[U'E' R' : [E, R2]]</t>
  </si>
  <si>
    <t>[S, L' F' L]</t>
  </si>
  <si>
    <t>[D' R' F : [E, R2]]</t>
  </si>
  <si>
    <t>R' U R U R U R' U' R' U'</t>
  </si>
  <si>
    <t>[r' : [U' R' U, M']]</t>
  </si>
  <si>
    <t>[U' R' : [E', R2]]</t>
  </si>
  <si>
    <t>[U2, M]</t>
  </si>
  <si>
    <t>[R U' R' U, M2]</t>
  </si>
  <si>
    <t>D' R' U' R U R U R U' R' U' D</t>
  </si>
  <si>
    <t>[DU L' : [E', L2]]</t>
  </si>
  <si>
    <t>[D : [S', R F R']]</t>
  </si>
  <si>
    <t>[D'U' R : [E, R2]]</t>
  </si>
  <si>
    <t>M u2 M u2</t>
  </si>
  <si>
    <t>[S' r : [U R' U', M2]]</t>
  </si>
  <si>
    <t>[S l' : [U' L U, M2]]</t>
  </si>
  <si>
    <t>[M' : [U R' U', M2]]</t>
  </si>
  <si>
    <t>[U' : [R' B R, S]]</t>
  </si>
  <si>
    <t>[M' : [U R U', M2]]</t>
  </si>
  <si>
    <t>[r : [U R' U', M2]]</t>
  </si>
  <si>
    <t>[M' : [U' L U, M2]]</t>
  </si>
  <si>
    <t>[l' : [U' L U, M2]]</t>
  </si>
  <si>
    <t>[M' : [U' L' U, M2]]</t>
  </si>
  <si>
    <t>[U : [L B' L', S']]</t>
  </si>
  <si>
    <t>[UD L : [E, L2]]</t>
  </si>
  <si>
    <t>[D' r' : [U' R' U, M']]</t>
  </si>
  <si>
    <t>[U'D' R' : [E', R2]]</t>
  </si>
  <si>
    <t>[U : [L2, S']]</t>
  </si>
  <si>
    <t>L U L' U' L' U' L' U L U</t>
  </si>
  <si>
    <t>[L' U' L : [S', L2]]</t>
  </si>
  <si>
    <t>[U L' : [E', L2]]</t>
  </si>
  <si>
    <t>[U' L F L' : [S', L2]]</t>
  </si>
  <si>
    <t>U2' L' U L U L U L' U' L' U</t>
  </si>
  <si>
    <t>[R' F' : [R' S' R, F2]]</t>
  </si>
  <si>
    <t>[U' : [R2, S']]</t>
  </si>
  <si>
    <t>U' R' D' R D R D R D' R' UD'</t>
  </si>
  <si>
    <t>[u L' : [E', L2]]</t>
  </si>
  <si>
    <t>[S', R F R']</t>
  </si>
  <si>
    <t>[UE L : [E, L2]]</t>
  </si>
  <si>
    <t>[R' : [R' S' R, F]]</t>
  </si>
  <si>
    <t>[u L : [E, L2]]</t>
  </si>
  <si>
    <t>[S, L F' L']</t>
  </si>
  <si>
    <t>[UE L' : [E', L2]]</t>
  </si>
  <si>
    <t>[D L F' : [E', L2]]</t>
  </si>
  <si>
    <t>[U L : [E, L2]]</t>
  </si>
  <si>
    <t>[UD : [R' F' R, S]]</t>
  </si>
  <si>
    <t>L U' L' U' L' U' L U L U</t>
  </si>
  <si>
    <t>[U' : [L' E L, U2]]</t>
  </si>
  <si>
    <t>[U : [U, L' E L]]</t>
  </si>
  <si>
    <t>[L' E L, U]</t>
  </si>
  <si>
    <t>[E', R U' R']</t>
  </si>
  <si>
    <t>[D R D', M]</t>
  </si>
  <si>
    <t>[L' : [L' E L, U]]</t>
  </si>
  <si>
    <t>[F : [R2, E]]</t>
  </si>
  <si>
    <t>[u' R : [E', R2]]</t>
  </si>
  <si>
    <t>[M : [U R' U', M2]]</t>
  </si>
  <si>
    <t>[u L : [E', L2]]</t>
  </si>
  <si>
    <t>[R, U' S U]</t>
  </si>
  <si>
    <t>[M' U' R : [S, R2]]</t>
  </si>
  <si>
    <t>[S' : [L' E L, U]]</t>
  </si>
  <si>
    <t>[u R' : [S, R2]]</t>
  </si>
  <si>
    <t>[r' U' : [M', U2]]</t>
  </si>
  <si>
    <t>[r U R : [E, R2]]</t>
  </si>
  <si>
    <t>[L F' : [L2, E]]</t>
  </si>
  <si>
    <t>[R : (M D' M' D')2]</t>
  </si>
  <si>
    <t>[U R' U', M']</t>
  </si>
  <si>
    <t>[E, L U L']</t>
  </si>
  <si>
    <t>[U : [R E R', U2]]</t>
  </si>
  <si>
    <t>[R E R', U']</t>
  </si>
  <si>
    <t>[U' : [U', R E R']]</t>
  </si>
  <si>
    <t>[D' : [U' R U, M']]</t>
  </si>
  <si>
    <t>[U' : [R' F' R, S']]</t>
  </si>
  <si>
    <t>[R E : [R' U' R, E]]</t>
  </si>
  <si>
    <t>[R' F : [R2, E]]</t>
  </si>
  <si>
    <t>[U' : [S, R' B R]]</t>
  </si>
  <si>
    <t>[R F R', S']</t>
  </si>
  <si>
    <t>[U' S U, R]</t>
  </si>
  <si>
    <t>[D' M D, R']</t>
  </si>
  <si>
    <t>[F' R' : [E, R2]]</t>
  </si>
  <si>
    <t>[R' F : [E', R2]]</t>
  </si>
  <si>
    <t>[R' F R' : [S, R2]]</t>
  </si>
  <si>
    <t>[S' : [U', R' E R]]</t>
  </si>
  <si>
    <t>[R' F R : [S', R2]]</t>
  </si>
  <si>
    <t>(M D' M' D')2</t>
  </si>
  <si>
    <t>[D' : [U' R' U, M']]</t>
  </si>
  <si>
    <t>[R : [U R U', M']]</t>
  </si>
  <si>
    <t>[R' E' : [R U' R', E']]</t>
  </si>
  <si>
    <t>[U' : [L E' L', U2]]</t>
  </si>
  <si>
    <t>[U : [U, L E' L']]</t>
  </si>
  <si>
    <t>[L E' L', U]</t>
  </si>
  <si>
    <t>[D R' D', M]</t>
  </si>
  <si>
    <t>[E', L' U L]</t>
  </si>
  <si>
    <t>[R2' F : [R2, E]]</t>
  </si>
  <si>
    <t>[M : [U R U', M2]]</t>
  </si>
  <si>
    <t>[UE L' : [E, L2]]</t>
  </si>
  <si>
    <t>[M' U' R' : [S, R2]]</t>
  </si>
  <si>
    <t>[R', D' M D]</t>
  </si>
  <si>
    <t>[S' : [L E' L', U]]</t>
  </si>
  <si>
    <t>[E R U' R : [E, R2]]</t>
  </si>
  <si>
    <t>[M R U' : [M', U2]]</t>
  </si>
  <si>
    <t>[U'E' L : [S', L2]]</t>
  </si>
  <si>
    <t>[S : [L E' L', U]]</t>
  </si>
  <si>
    <t>[R' : (M D' M' D')2]</t>
  </si>
  <si>
    <t>[E, R' U' R]</t>
  </si>
  <si>
    <t>[U R U', M']</t>
  </si>
  <si>
    <t>[L : [L E' L', U]]</t>
  </si>
  <si>
    <t>[S U' : [R2, S]]</t>
  </si>
  <si>
    <t>[R' F R, S]</t>
  </si>
  <si>
    <t>[l F : [F, l' S' l]]</t>
  </si>
  <si>
    <t>[R' F' : [R U' R', E]]</t>
  </si>
  <si>
    <t>[S U' R : [E, R2]]</t>
  </si>
  <si>
    <t>[M : u M u2 M u]</t>
  </si>
  <si>
    <t>[R' F R, S']</t>
  </si>
  <si>
    <t>[D' : [R' F R, S']]</t>
  </si>
  <si>
    <t>[R' : [F, R' S' R]]</t>
  </si>
  <si>
    <t>[S' : [U, L' E L]]</t>
  </si>
  <si>
    <t>[F' R : [E, R2]]</t>
  </si>
  <si>
    <t>[S' : [U, L E' L']]</t>
  </si>
  <si>
    <t>[l U' : [M', U2]]</t>
  </si>
  <si>
    <t>[M U' : [M', U2]]</t>
  </si>
  <si>
    <t>[U' M : [R' E R, U']]</t>
  </si>
  <si>
    <t>[L F' L' : [S', L2]]</t>
  </si>
  <si>
    <t>[M' : (U' M' U' M)2]</t>
  </si>
  <si>
    <t>[R u' R : [E', R2]]</t>
  </si>
  <si>
    <t>[R U R' U', M']</t>
  </si>
  <si>
    <t>[S U' R' : [E', R2]]</t>
  </si>
  <si>
    <t>[U : [R E' R', U2]]</t>
  </si>
  <si>
    <t>[R E' R', U']</t>
  </si>
  <si>
    <t>[U' : [U', R E' R']]</t>
  </si>
  <si>
    <t>[R : [R E' R', U']]</t>
  </si>
  <si>
    <t>[D' L' D, M]</t>
  </si>
  <si>
    <t>[E, L' U L]</t>
  </si>
  <si>
    <t>[F' : [L2, E']]</t>
  </si>
  <si>
    <t>[u' R' : [E, R2]]</t>
  </si>
  <si>
    <t>[M : [U' L U, M2]]</t>
  </si>
  <si>
    <t>[u L' : [E, L2]]</t>
  </si>
  <si>
    <t>[u R : [S, R2]]</t>
  </si>
  <si>
    <t>[R' F : [R2, E']]</t>
  </si>
  <si>
    <t>[E R U' R' : [E, R2]]</t>
  </si>
  <si>
    <t>[l U : [M', U2]]</t>
  </si>
  <si>
    <t>[S : [R E' R', U']]</t>
  </si>
  <si>
    <t>[r U L' : [S', L2]]</t>
  </si>
  <si>
    <t>[L', U S' U']</t>
  </si>
  <si>
    <t>[L' : (M D M' D)2]</t>
  </si>
  <si>
    <t>[E', R' U' R]</t>
  </si>
  <si>
    <t>[U' L U, M']</t>
  </si>
  <si>
    <t>[U' M U : [M', U2]]</t>
  </si>
  <si>
    <t>[L F' L', S']</t>
  </si>
  <si>
    <t>[S' U L' : [E', L2]]</t>
  </si>
  <si>
    <t>[L F : [L' U L, E']]</t>
  </si>
  <si>
    <t>[r' F' : [F', r S r']]</t>
  </si>
  <si>
    <t>[L' F : [E', L2]]</t>
  </si>
  <si>
    <t>[r : [U', L E' L']]</t>
  </si>
  <si>
    <t>[D : [L F' L', S]]</t>
  </si>
  <si>
    <t>[L F' L', S]</t>
  </si>
  <si>
    <t>[r' U : [M', U2]]</t>
  </si>
  <si>
    <t>[R' F R : [S, R2]]</t>
  </si>
  <si>
    <t>[M R U : [M', U2]]</t>
  </si>
  <si>
    <t>[M U : [M', U2]]</t>
  </si>
  <si>
    <t>[S : [U', R E' R']]</t>
  </si>
  <si>
    <t>[S : [U', R' E R]]</t>
  </si>
  <si>
    <t>[F L' : [E', L2]]</t>
  </si>
  <si>
    <t>[M' : (U M' U M)2]</t>
  </si>
  <si>
    <t>[S' U L : [E, L2]]</t>
  </si>
  <si>
    <t>[L' U' L U, M']</t>
  </si>
  <si>
    <t>[L' u L' : [E, L2]]</t>
  </si>
  <si>
    <t>[U : [R' E R, U2]]</t>
  </si>
  <si>
    <t>[R' E R, U']</t>
  </si>
  <si>
    <t>[U' : [U', R' E R]]</t>
  </si>
  <si>
    <t>[E, R U' R']</t>
  </si>
  <si>
    <t>[D' L D, M]</t>
  </si>
  <si>
    <t>[U R' F' : [F', R S R']]</t>
  </si>
  <si>
    <t>[R' F : [R S' R', F]]</t>
  </si>
  <si>
    <t>[D' R' F : [R S' R', F]]</t>
  </si>
  <si>
    <t>[UE L : [E', L2]]</t>
  </si>
  <si>
    <t>[r U R' : [E, R2]]</t>
  </si>
  <si>
    <t>[S' : [R' E R, U']]</t>
  </si>
  <si>
    <t>[UE R' : [S, R2]]</t>
  </si>
  <si>
    <t>[M L' U : [M', U2]]</t>
  </si>
  <si>
    <t>[r U L : [S', L2]]</t>
  </si>
  <si>
    <t>[L, D M D']</t>
  </si>
  <si>
    <t>[U' M : [U, R' E R]]</t>
  </si>
  <si>
    <t>[R' : [R' E R, U']]</t>
  </si>
  <si>
    <t>[U' L' U, M']</t>
  </si>
  <si>
    <t>[E', L U L']</t>
  </si>
  <si>
    <t>[U' : [L' E' L, U2]]</t>
  </si>
  <si>
    <t>[U : [U, L' E' L]]</t>
  </si>
  <si>
    <t>[L' E' L, U]</t>
  </si>
  <si>
    <t>[L' E' : [L U L', E']]</t>
  </si>
  <si>
    <t>[U : [S', R' D' R]]</t>
  </si>
  <si>
    <t>[S' U' R : [E, R2]]</t>
  </si>
  <si>
    <t>[L F' : [L2, E']]</t>
  </si>
  <si>
    <t>[L' F' L, S]</t>
  </si>
  <si>
    <t>[U : [S', L B' L']]</t>
  </si>
  <si>
    <t>[L F' : [E, L2]]</t>
  </si>
  <si>
    <t>[R' F R' : [S', R2]]</t>
  </si>
  <si>
    <t>[S : [U, L E' L']]</t>
  </si>
  <si>
    <t>[L F' L : [S', L2]]</t>
  </si>
  <si>
    <t>[U S' U', L']</t>
  </si>
  <si>
    <t>[F L : [E', L2]]</t>
  </si>
  <si>
    <t>[D M D', L]</t>
  </si>
  <si>
    <t>(M D M' D)2</t>
  </si>
  <si>
    <t>[D : [U' R' U, M']]</t>
  </si>
  <si>
    <t>[U'D : [S, R' F' R]]</t>
  </si>
  <si>
    <t>[S' U' R' : [E', R2]]</t>
  </si>
  <si>
    <t>[U' M' U : [M', U2]]</t>
  </si>
  <si>
    <t>(M U' M' U')2</t>
  </si>
  <si>
    <t>(M U M' U)2</t>
  </si>
  <si>
    <t>[U' : [R, U' M U]]</t>
  </si>
  <si>
    <t>U M U M' U2 M' U' M U</t>
  </si>
  <si>
    <t>[U : [L', U M U']]</t>
  </si>
  <si>
    <t>[D' : [R F R', S']]</t>
  </si>
  <si>
    <t>[D' R' F : [R2, E]]</t>
  </si>
  <si>
    <t>[D L F' : [L2, E']]</t>
  </si>
  <si>
    <t>[R : (D M D M')2]</t>
  </si>
  <si>
    <t>(D M D M')2</t>
  </si>
  <si>
    <t>[r : (M' U M U)2]</t>
  </si>
  <si>
    <t>[M' : (M' U M U)2]</t>
  </si>
  <si>
    <t>[L' : (D' M D' M')2]</t>
  </si>
  <si>
    <t>[U'D' : [R' D R, S']]</t>
  </si>
  <si>
    <t>[U' M : [R' E R, U]]</t>
  </si>
  <si>
    <t>(D' M D' M')2</t>
  </si>
  <si>
    <t>[U' : [R', U' M U]]</t>
  </si>
  <si>
    <t>[U' : [S, R B R']]</t>
  </si>
  <si>
    <t>[L : (M U M' U)2]]</t>
  </si>
  <si>
    <t>[R U' : [R2, S]]</t>
  </si>
  <si>
    <t>[E : [R E' R', U']]</t>
  </si>
  <si>
    <t>[L E2 L', U]</t>
  </si>
  <si>
    <t>[U R : [S, R2]]</t>
  </si>
  <si>
    <t>[M', U' R' U]</t>
  </si>
  <si>
    <t>[R U' R : [E, R2]]</t>
  </si>
  <si>
    <t>[UD' L' : [E, L2]]</t>
  </si>
  <si>
    <t>U R U R U' R' U' R' U' R</t>
  </si>
  <si>
    <t>[UD L' : [E, L2]]</t>
  </si>
  <si>
    <t>[U L' : [E, L2]]</t>
  </si>
  <si>
    <t>[D' : [M', U' R' U]]</t>
  </si>
  <si>
    <t>[R' U' R, E]</t>
  </si>
  <si>
    <t>[R u' R' : [E', R2]]</t>
  </si>
  <si>
    <t>[R' U' R, E']</t>
  </si>
  <si>
    <t>[S' U L' : [E, L2]]</t>
  </si>
  <si>
    <t>[R' : [U', R' E R]]</t>
  </si>
  <si>
    <t>[L E : [E, L' U L]]</t>
  </si>
  <si>
    <t>[U' : [U' M U, R']]</t>
  </si>
  <si>
    <t>[M, U' R' U]</t>
  </si>
  <si>
    <t>[R U' R' : [E', R2]]</t>
  </si>
  <si>
    <t>[R' U' R U, M]</t>
  </si>
  <si>
    <t>[L U L' U', M]</t>
  </si>
  <si>
    <t>[U' R U, M]</t>
  </si>
  <si>
    <t>[U' : [R' F' R, S]]</t>
  </si>
  <si>
    <t>[U L' U', M]</t>
  </si>
  <si>
    <t>[U : [S, R' F' R]]</t>
  </si>
  <si>
    <t>[R' : [U' R' U, M]]</t>
  </si>
  <si>
    <t>[U : [S, R B R']]</t>
  </si>
  <si>
    <t>[M', U R' U']</t>
  </si>
  <si>
    <t>[U'D' : [R' F' R, S]]</t>
  </si>
  <si>
    <t>[M', U R U']</t>
  </si>
  <si>
    <t>[M', R U R' U']</t>
  </si>
  <si>
    <t>[M', U' L U]</t>
  </si>
  <si>
    <t>[M', L' U' L U]</t>
  </si>
  <si>
    <t>[M', U' L' U]</t>
  </si>
  <si>
    <t>[U'D : [R' F' R, S]]</t>
  </si>
  <si>
    <t>[U' : [R B R', S]]</t>
  </si>
  <si>
    <t>[U' R' U, M]</t>
  </si>
  <si>
    <t>[U L U', M]</t>
  </si>
  <si>
    <t>[U : [R' E2 R, U2]]</t>
  </si>
  <si>
    <t>[R' E2 R, U']</t>
  </si>
  <si>
    <t>[E' : [L' E L, U]]</t>
  </si>
  <si>
    <t>[R' U' R : [E', R2]]</t>
  </si>
  <si>
    <t>[M', U L U']</t>
  </si>
  <si>
    <t>[U' L' : [S', L2]]</t>
  </si>
  <si>
    <t>[U'D R : [E', R2]]</t>
  </si>
  <si>
    <t>[U' R : [E', R2]]</t>
  </si>
  <si>
    <t>[U'D' R : [E', R2]]</t>
  </si>
  <si>
    <t>U' L' U' L' U L U L U L'</t>
  </si>
  <si>
    <t>[L U L', E]</t>
  </si>
  <si>
    <t>[R' E' : [E', R U' R']]</t>
  </si>
  <si>
    <t>[L : [U, L E' L']]</t>
  </si>
  <si>
    <t>[S U' R : [E', R2]]</t>
  </si>
  <si>
    <t>[L' u L : [E, L2]]</t>
  </si>
  <si>
    <t>[L U L', E']</t>
  </si>
  <si>
    <t>[S' U' R : [E', R2]]</t>
  </si>
  <si>
    <t>[U : [U M U', L]]</t>
  </si>
  <si>
    <t>[R U' R : [E', R2]]</t>
  </si>
  <si>
    <t>[M, U L U']</t>
  </si>
  <si>
    <t>PROGRESS (440 TOTAL):</t>
  </si>
  <si>
    <t>comms w/ RS 4 mover</t>
  </si>
  <si>
    <t>comms w/ LS 4 mover</t>
  </si>
  <si>
    <t>comms w/ LE 4 mover</t>
  </si>
  <si>
    <t>comms w/ RE 4 mover</t>
  </si>
  <si>
    <t>comms w/ MU 4 mover</t>
  </si>
  <si>
    <t>comms w/ MD 4 mover</t>
  </si>
  <si>
    <t>comms w/ Mu 4 mover</t>
  </si>
  <si>
    <t>total w/ 4 movers</t>
  </si>
  <si>
    <t>U perm variants</t>
  </si>
  <si>
    <t>total S comms</t>
  </si>
  <si>
    <t>total E comms</t>
  </si>
  <si>
    <t>total M comms</t>
  </si>
  <si>
    <t>total combined slice comms</t>
  </si>
  <si>
    <t>[M2 U' : [M', U2]]</t>
  </si>
  <si>
    <t>[E' : [U, R' E R]]</t>
  </si>
  <si>
    <t>(U' M' U' M)2</t>
  </si>
  <si>
    <t>[U, R E2 R']</t>
  </si>
  <si>
    <t>[M2, R U R' U']</t>
  </si>
  <si>
    <t>[R' U' R' : [S, R2]]</t>
  </si>
  <si>
    <t>[M' U2 M', U']</t>
  </si>
  <si>
    <t>U L U L' U' L' U' L' U L</t>
  </si>
  <si>
    <t>[U' : [L' E L, U']]</t>
  </si>
  <si>
    <t>[U, R E R']</t>
  </si>
  <si>
    <t>[U' : [L E' L', U']]</t>
  </si>
  <si>
    <t>[U, R E' R']</t>
  </si>
  <si>
    <t>[L' U L, S]</t>
  </si>
  <si>
    <t>[U, R' E R]</t>
  </si>
  <si>
    <t>[U' : [L' E' L, U']]</t>
  </si>
  <si>
    <t>[M, R' U R U']</t>
  </si>
  <si>
    <t>[E : [U, R E' R']]</t>
  </si>
  <si>
    <t>[U, R' E2 R]</t>
  </si>
  <si>
    <t>[M2 U : [M', U2]]</t>
  </si>
  <si>
    <t>[U', R' S2 R]</t>
  </si>
  <si>
    <t>(U M' U M)2</t>
  </si>
  <si>
    <t>[E : [U', L E' L']]</t>
  </si>
  <si>
    <t>U' D R' U' R U R U R U' R' D'</t>
  </si>
  <si>
    <t>U' R' U' R U R U R U' R'</t>
  </si>
  <si>
    <t>[M' U2 M', U]</t>
  </si>
  <si>
    <t>[L U L : [S', L2]]</t>
  </si>
  <si>
    <t>[U', L' E L]</t>
  </si>
  <si>
    <t>[U : [R E R', U]]</t>
  </si>
  <si>
    <t>[U', L E' L']</t>
  </si>
  <si>
    <t>[R U' R', S']</t>
  </si>
  <si>
    <t>[U : [R E' R', U]]</t>
  </si>
  <si>
    <t>[U : [R' E R, U]]</t>
  </si>
  <si>
    <t>[U', L' E' L]</t>
  </si>
  <si>
    <t>[M, L U' L' U]</t>
  </si>
  <si>
    <t>[U', L E2' L']</t>
  </si>
  <si>
    <t>[E' : [U', L' E L]]</t>
  </si>
  <si>
    <t>I made this list so I can float UB in the case that UF is solved before the rest of edges are. That's why there's nothing including UF here.</t>
  </si>
  <si>
    <t>[E' : [R' E R, U]]</t>
  </si>
  <si>
    <t>[R' S2 R, U']</t>
  </si>
  <si>
    <t>[U : [U M' U', R]]</t>
  </si>
  <si>
    <t>[R' U R : [E, R2]]</t>
  </si>
  <si>
    <t>[U'D' L : [E', L2]]</t>
  </si>
  <si>
    <t>U' R' U' R' U R U R U R'</t>
  </si>
  <si>
    <t>[U'D L : [E', L2]]</t>
  </si>
  <si>
    <t>[U' L : [E', L2]]</t>
  </si>
  <si>
    <t>[R U R', E']</t>
  </si>
  <si>
    <t>[S U' L : [E', L2]]</t>
  </si>
  <si>
    <t>[R' u R : [E, R2]]</t>
  </si>
  <si>
    <t>[R : [U, R E' R']]</t>
  </si>
  <si>
    <t>[M : [L E' L', U]]</t>
  </si>
  <si>
    <t>[R U R', E]</t>
  </si>
  <si>
    <t>[L' E' : [E', L U' L']]</t>
  </si>
  <si>
    <t>[M, U R U']</t>
  </si>
  <si>
    <t>[U' R' : [S, R2]]</t>
  </si>
  <si>
    <t>[R' U R' : [E', R2]]</t>
  </si>
  <si>
    <t>(M' U M U)2</t>
  </si>
  <si>
    <t>(M' U' M U')2</t>
  </si>
  <si>
    <t>[U : [R, U M' U']]</t>
  </si>
  <si>
    <t>[U' : [L', U' M' U]]</t>
  </si>
  <si>
    <t>[U' R' F' R' : [S, R2]]</t>
  </si>
  <si>
    <t>[D : [R' B' R, S']]</t>
  </si>
  <si>
    <t>[U L F L : [S', L2]]</t>
  </si>
  <si>
    <t>[U' M' : [L' E L, U]]</t>
  </si>
  <si>
    <t>(D' M' D' M)2</t>
  </si>
  <si>
    <t>[U' M' : [l E' l', U]]</t>
  </si>
  <si>
    <t>[M : (M U' M' U')2]</t>
  </si>
  <si>
    <t>[l : (M U M' U)2]</t>
  </si>
  <si>
    <t>[M : (M U M' U)2]</t>
  </si>
  <si>
    <t>[L : (D M' D M)2]</t>
  </si>
  <si>
    <t>(D M' D M)2</t>
  </si>
  <si>
    <t>U M' U M U2 M U' M' U</t>
  </si>
  <si>
    <t>[U : [R', U M' U']]</t>
  </si>
  <si>
    <t>[U' : [L, U' M' U]]</t>
  </si>
  <si>
    <t>[R E2 R', U]</t>
  </si>
  <si>
    <t>[E : [L E' L', U']]</t>
  </si>
  <si>
    <t>[R' U R' : [E, R2]]</t>
  </si>
  <si>
    <t>[U' : [U' M' U, L']]</t>
  </si>
  <si>
    <t>[UD R' : [E, R2]]</t>
  </si>
  <si>
    <t>[U R' : [E, R2]]</t>
  </si>
  <si>
    <t>[UD' R' : [E, R2]]</t>
  </si>
  <si>
    <t>U L U L U' L' U' L' U' L</t>
  </si>
  <si>
    <t>[L' : [U', L' E L]]</t>
  </si>
  <si>
    <t>[R E : [E, R' U R]]</t>
  </si>
  <si>
    <t>[L' U' L, E']</t>
  </si>
  <si>
    <t>[M : [R' E R, U']]</t>
  </si>
  <si>
    <t>[L' U' L, E]</t>
  </si>
  <si>
    <t>[L u' L' : [E', L2]]</t>
  </si>
  <si>
    <t>[S' U R' : [E, R2]]</t>
  </si>
  <si>
    <t>[M, U' L' U]</t>
  </si>
  <si>
    <t>[R U R' : [E, R2]]</t>
  </si>
  <si>
    <t>[U L : [S', L2]]</t>
  </si>
  <si>
    <t>[R U R' U', M2]</t>
  </si>
  <si>
    <t>[L' U' L U, M2]</t>
  </si>
  <si>
    <t>[U'D' L' : [E', L2]]</t>
  </si>
  <si>
    <t>[UD R : [E, R2]]</t>
  </si>
  <si>
    <t>[U R' D' R' : [S', R2]]</t>
  </si>
  <si>
    <t>M' u2 M' u2</t>
  </si>
  <si>
    <t>[L' UD R : [E, R2]]</t>
  </si>
  <si>
    <t>[M : [U' R' U, M2]]</t>
  </si>
  <si>
    <t>[U : [R F' R', S]]</t>
  </si>
  <si>
    <t>[M : [U' R U, M2]]</t>
  </si>
  <si>
    <t>[M : [R U' R' U, M2]]</t>
  </si>
  <si>
    <t>[M : [U L U', M2]]</t>
  </si>
  <si>
    <t>[M : [L' U L U', M2]]</t>
  </si>
  <si>
    <t>[M : [U L' U', M2]]</t>
  </si>
  <si>
    <t>[U' : [L' F L, S']]</t>
  </si>
  <si>
    <t>[D' : [S', R' B' R]]</t>
  </si>
  <si>
    <t>[U'D' L : [E, R2]]</t>
  </si>
  <si>
    <t>[UD R' : [E', R2]]</t>
  </si>
  <si>
    <t>[R' U' R : [S, R2]]</t>
  </si>
  <si>
    <t>R U R' U' R' U' R' U R U</t>
  </si>
  <si>
    <t>R U' R' U' R' U' R U R U</t>
  </si>
  <si>
    <t>[U' R' F' R : [S, R2]]</t>
  </si>
  <si>
    <t>[U R : [E, R2]]</t>
  </si>
  <si>
    <t>[U R' D' R : [S', R2]]</t>
  </si>
  <si>
    <t>[U R' D R : [S', R2]]</t>
  </si>
  <si>
    <t>[U : [S', R2]]</t>
  </si>
  <si>
    <t>[UE R' : [E', R2]]</t>
  </si>
  <si>
    <t>[u R : [E, R2]]</t>
  </si>
  <si>
    <t>[S', R B' R']</t>
  </si>
  <si>
    <t>[UE R : [E, R2]]</t>
  </si>
  <si>
    <t>[r' : [L' E L, U]]</t>
  </si>
  <si>
    <t>[u R' : [E', R2]]</t>
  </si>
  <si>
    <t>[S, L B L']</t>
  </si>
  <si>
    <t>[M, U R2 U']</t>
  </si>
  <si>
    <t>U2 R' U R U R U R' U' R' U</t>
  </si>
  <si>
    <t>[U R' : [E', R2]]</t>
  </si>
  <si>
    <t>[U', M' U2 M']</t>
  </si>
  <si>
    <t>[U, M' U2 M']</t>
  </si>
  <si>
    <t>[U'D L' : [E', L2]]</t>
  </si>
  <si>
    <t>[D : [S', R' B' R]]</t>
  </si>
  <si>
    <t>[UD' R : [E, R2]]</t>
  </si>
  <si>
    <t>u2 M u2 M</t>
  </si>
  <si>
    <t>[U R' D R' : [S', R2]]</t>
  </si>
  <si>
    <t>R b2 R2' D R2 b2 R2' D R</t>
  </si>
  <si>
    <t>[R2' B' : [E', R2]]</t>
  </si>
  <si>
    <t>[U : [R' B R, S]]</t>
  </si>
  <si>
    <t>[r' U' : [S, R2]]</t>
  </si>
  <si>
    <t>[M' : u M u2 M u]</t>
  </si>
  <si>
    <t>[r2' F' : r2 E r2' E]</t>
  </si>
  <si>
    <t>[M' : u' M u2 M u']</t>
  </si>
  <si>
    <t>[l U : [S', L2]]</t>
  </si>
  <si>
    <t>[U' : [L B' L', S']]</t>
  </si>
  <si>
    <t>[U'D L : [E, L2]]</t>
  </si>
  <si>
    <t>[UD' R' : [E', R2]]</t>
  </si>
  <si>
    <t>L' U' L U L U L U' L' U'</t>
  </si>
  <si>
    <t>[L' U L : [S', L2]]</t>
  </si>
  <si>
    <t>[U' L' : [E', L2]]</t>
  </si>
  <si>
    <t>[U L F L' : [S', L2]]</t>
  </si>
  <si>
    <t>L' U L U L U L' U' L' U'</t>
  </si>
  <si>
    <t>[L' UD R' : [E, R2]]</t>
  </si>
  <si>
    <t>[U : [R2, S']]</t>
  </si>
  <si>
    <t>R' D' R2 b2 R2' D' R2 b2 R'</t>
  </si>
  <si>
    <t>[U'E' L' : [E', L2]]</t>
  </si>
  <si>
    <t>[S', R' B' R]</t>
  </si>
  <si>
    <t>[u' L : [E, L2]]</t>
  </si>
  <si>
    <t>[l : [R E' R', U']]</t>
  </si>
  <si>
    <t>[U'E' L : [E, L2]]</t>
  </si>
  <si>
    <t>[S, L' B L]</t>
  </si>
  <si>
    <t>[u' L' : [E', L2]]</t>
  </si>
  <si>
    <t>[U' S U : [M, U2]]</t>
  </si>
  <si>
    <t>[U' L : [E, L2]]</t>
  </si>
  <si>
    <t>U2 L U' L' U' L' U' L U L U'</t>
  </si>
  <si>
    <t>[U' : [U', L' E L]]</t>
  </si>
  <si>
    <t>[L' E L, U']</t>
  </si>
  <si>
    <t>[E', R U R']</t>
  </si>
  <si>
    <t>[U' M' : [U, L' E L]]</t>
  </si>
  <si>
    <t>[L' : [L' E L, U']]</t>
  </si>
  <si>
    <t>[M' : [U' R' U, M2]]</t>
  </si>
  <si>
    <t>[UE R : [E', R2]]</t>
  </si>
  <si>
    <t>[R2' B' : [R2, E']]</t>
  </si>
  <si>
    <t>[U'E' L : [E', L2]]</t>
  </si>
  <si>
    <t>[R, D M' D']</t>
  </si>
  <si>
    <t>[M U R : [S, R2]]</t>
  </si>
  <si>
    <t>[S' : [L' E L, U']]</t>
  </si>
  <si>
    <t>[U'E' R' : [S, R2]]</t>
  </si>
  <si>
    <t>[M' R' U : [M, U2]]</t>
  </si>
  <si>
    <t>[l U L' : [E, L2]]</t>
  </si>
  <si>
    <t>[S : [L' E L, U']]</t>
  </si>
  <si>
    <t>[M : [M, U' R' U]]</t>
  </si>
  <si>
    <t>[E, L U' L']</t>
  </si>
  <si>
    <t>[R E R', U]</t>
  </si>
  <si>
    <t>[U : [U, R E R']]</t>
  </si>
  <si>
    <t>[S U' L' : [E', L2]]</t>
  </si>
  <si>
    <t>(M' D M D)2</t>
  </si>
  <si>
    <t>[R E : [R' U R, E]]</t>
  </si>
  <si>
    <t>[U : [S, R F' R']]</t>
  </si>
  <si>
    <t>[U : [S, R' B R]]</t>
  </si>
  <si>
    <t>[R' B' R, S']</t>
  </si>
  <si>
    <t>[U S U', R]</t>
  </si>
  <si>
    <t>[D M' D', R']</t>
  </si>
  <si>
    <t>[r' U R : [S, R2]]</t>
  </si>
  <si>
    <t>[S' : [U, R E' R']]</t>
  </si>
  <si>
    <t>[l U' R : [E, R2]]</t>
  </si>
  <si>
    <t>[S' : [U, R' E R]]</t>
  </si>
  <si>
    <t>[R B' R' : [S', R2]]</t>
  </si>
  <si>
    <t>[R D' R' D, M']</t>
  </si>
  <si>
    <t>[R u R' : [E, R2]]</t>
  </si>
  <si>
    <t>[R' E' : [R U R', E']]</t>
  </si>
  <si>
    <t>[U' : [U', L E' L']]</t>
  </si>
  <si>
    <t>[L E' L', U']</t>
  </si>
  <si>
    <t>[U' M' : [U, l E' l']]</t>
  </si>
  <si>
    <t>[E', L' U' L]</t>
  </si>
  <si>
    <t>[M' : [U' R U, M2]]</t>
  </si>
  <si>
    <t>[u R' : [E, R2]]</t>
  </si>
  <si>
    <t>[r' U' : [R2, S]]</t>
  </si>
  <si>
    <t>[u' L' : [E, L2]]</t>
  </si>
  <si>
    <t>[M U R' : [S, R2]]</t>
  </si>
  <si>
    <t>[R', U S U']</t>
  </si>
  <si>
    <t>[S' : [L E' L', U']]</t>
  </si>
  <si>
    <t>[r' U' R' : [E', R2]]</t>
  </si>
  <si>
    <t>[r U : [M, U2]]</t>
  </si>
  <si>
    <t>[u' R : [S, R2]]</t>
  </si>
  <si>
    <t>[S : [L E' L', U']]</t>
  </si>
  <si>
    <t>[U' M : [U', L E' L']]</t>
  </si>
  <si>
    <t>[E, R' U R]</t>
  </si>
  <si>
    <t>[L : [L E' L', U']]</t>
  </si>
  <si>
    <t>[S', R U' R']</t>
  </si>
  <si>
    <t>[R' u R' : [E, R2]]</t>
  </si>
  <si>
    <t>[M : (U M U M')2]</t>
  </si>
  <si>
    <t>[S U R : [E, R2]]</t>
  </si>
  <si>
    <t>[M' : [R U' R' U, M2]]</t>
  </si>
  <si>
    <t>[R B' R', S']</t>
  </si>
  <si>
    <t>[M' : u' M' u2 M' u']</t>
  </si>
  <si>
    <t>[l : [U', R E' R']]</t>
  </si>
  <si>
    <t>[S' : [U', L' E L]]</t>
  </si>
  <si>
    <t>[r' U R' : [S, R2]]</t>
  </si>
  <si>
    <t>[S' : [U', L E' L']]</t>
  </si>
  <si>
    <t>[M' L U : [M, U2]]</t>
  </si>
  <si>
    <t>[M' U : [M, U2]]</t>
  </si>
  <si>
    <t>[l U : [M, U2]]</t>
  </si>
  <si>
    <t>[r' U L : [E', L2]]</t>
  </si>
  <si>
    <t>[r' : [M, U' R U]]</t>
  </si>
  <si>
    <t>[R UE R : [E', R2]]</t>
  </si>
  <si>
    <t>[S U R' : [E', R2]]</t>
  </si>
  <si>
    <t>[R E' R', U]</t>
  </si>
  <si>
    <t>[U : [U, R E' R']]</t>
  </si>
  <si>
    <t>[R : [R E' R', U]]</t>
  </si>
  <si>
    <t>[U M' : [U', R E' R']]</t>
  </si>
  <si>
    <t>[E, L' U' L]</t>
  </si>
  <si>
    <t>[M' : [U L U', M2]]</t>
  </si>
  <si>
    <t>[UE R' : [E, R2]]</t>
  </si>
  <si>
    <t>[r2' F : r2 E r2' E]</t>
  </si>
  <si>
    <t>[U'E' L' : [E, L2]]</t>
  </si>
  <si>
    <t>[U'E' R : [S, R2]]</t>
  </si>
  <si>
    <t>[S : [R E' R', U]]</t>
  </si>
  <si>
    <t>[r' U' R : [E', R2]]</t>
  </si>
  <si>
    <t>[M' L U' : [M', U2]]</t>
  </si>
  <si>
    <t>[r' U' L' : [S', L2]]</t>
  </si>
  <si>
    <t>[L', D' M' D]</t>
  </si>
  <si>
    <t>[M : [M, U L U']]</t>
  </si>
  <si>
    <t>[E', R' U R]</t>
  </si>
  <si>
    <t>[S, L' U L]</t>
  </si>
  <si>
    <t>[S' U' L' : [E', L2]]</t>
  </si>
  <si>
    <t>[U' M : u M' u2 M' u]</t>
  </si>
  <si>
    <t>[L u' L : [E', L2]]</t>
  </si>
  <si>
    <t>[M' : [L' U L U', M2]]</t>
  </si>
  <si>
    <t>[r' : [U, L' E L]]</t>
  </si>
  <si>
    <t>[M' : u M' u2 M' u]</t>
  </si>
  <si>
    <t>[L' B L, S]</t>
  </si>
  <si>
    <t>[M' R' U' : [M, U2]]</t>
  </si>
  <si>
    <t>[l U' R' : [E, R2]]</t>
  </si>
  <si>
    <t>[r U' : [M, U2]]</t>
  </si>
  <si>
    <t>[M' U' : [M, U2]]</t>
  </si>
  <si>
    <t>[S : [U, R E' R']]</t>
  </si>
  <si>
    <t>[S : [U, R' E R]]</t>
  </si>
  <si>
    <t>[l U' L : [S', L2]]</t>
  </si>
  <si>
    <t>[l : [M, U L' U']]</t>
  </si>
  <si>
    <t>[S' U' L : [E, L2]]</t>
  </si>
  <si>
    <t>[L' U'E' L' : [E, L2]]</t>
  </si>
  <si>
    <t>[R' E R, U]</t>
  </si>
  <si>
    <t>[U : [U, R' E R]]</t>
  </si>
  <si>
    <t>[E, R U R']</t>
  </si>
  <si>
    <t>[U M' : [U', r' E r]]</t>
  </si>
  <si>
    <t>[M' : [U L' U', M2]]</t>
  </si>
  <si>
    <t>[u R : [E', R2]]</t>
  </si>
  <si>
    <t>[l U : [L2, S']]</t>
  </si>
  <si>
    <t>[u' L : [E', L2]]</t>
  </si>
  <si>
    <t>[l U L : [E, L2]]</t>
  </si>
  <si>
    <t>[S' : [R' E R, U]]</t>
  </si>
  <si>
    <t>[u' R' : [S, R2]]</t>
  </si>
  <si>
    <t>[l U' : [M, U2]]</t>
  </si>
  <si>
    <t>[r' U' L : [S', L2]]</t>
  </si>
  <si>
    <t>[S : [R' E R, U]]</t>
  </si>
  <si>
    <t>[L, U' S' U]</t>
  </si>
  <si>
    <t>[U M : [U, R' E R]]</t>
  </si>
  <si>
    <t>[R' : [R' E R, U]]</t>
  </si>
  <si>
    <t>[E', L U' L']</t>
  </si>
  <si>
    <t>[U' : [U', L' E' L]]</t>
  </si>
  <si>
    <t>[L' E' L, U']</t>
  </si>
  <si>
    <t>[L' E' : [L U' L', E']]</t>
  </si>
  <si>
    <t>(M' D' M D')2</t>
  </si>
  <si>
    <t>[S' U R : [E, R2]]</t>
  </si>
  <si>
    <t>[U' : [S', L' F L]]</t>
  </si>
  <si>
    <t>[L B L', S]</t>
  </si>
  <si>
    <t>[U' : [S', L B' L']]</t>
  </si>
  <si>
    <t>[S : [U', L' E L]]</t>
  </si>
  <si>
    <t>[R B' R' : [R2, S']]</t>
  </si>
  <si>
    <t>[S : [U', L E' L']]</t>
  </si>
  <si>
    <t>[r' U L' : [E', L2]]</t>
  </si>
  <si>
    <t>[U' S' U, L']</t>
  </si>
  <si>
    <t>[l U' L' : [S', L2]]</t>
  </si>
  <si>
    <t>[D' M' D, L]</t>
  </si>
  <si>
    <t>[U' : [S', R' D R]]</t>
  </si>
  <si>
    <t>[L E : [L' U' L, E]]</t>
  </si>
  <si>
    <t>[S' U R' : [E', R2]]</t>
  </si>
  <si>
    <t>[R' U R U', M]</t>
  </si>
  <si>
    <t>[L U' L' U, M]</t>
  </si>
  <si>
    <t>[U R U', M]</t>
  </si>
  <si>
    <t>U M U' M' U2 M' U M U</t>
  </si>
  <si>
    <t>[U' L' U, M]</t>
  </si>
  <si>
    <t>[D' : [R' B' R, S']]</t>
  </si>
  <si>
    <t>[U R2 U', M]</t>
  </si>
  <si>
    <t>[U' S U' : [M, U2]]</t>
  </si>
  <si>
    <t>[M : [U' R' U, M]]</t>
  </si>
  <si>
    <t>[M', R D' R' D]</t>
  </si>
  <si>
    <t>[U' M : [L E' L', U']]</t>
  </si>
  <si>
    <t>[r' : [U' R U, M]]</t>
  </si>
  <si>
    <t>[M : [U L U', M]]</t>
  </si>
  <si>
    <t>[l : [U L' U', M]]</t>
  </si>
  <si>
    <t>[U M : [R' E R, U]]</t>
  </si>
  <si>
    <t>[U' : [R' D R, S']]</t>
  </si>
  <si>
    <t>[U R' U', M]</t>
  </si>
  <si>
    <t>[U' L U, M]</t>
  </si>
  <si>
    <t>[E : [R E' R', U]]</t>
  </si>
  <si>
    <t>[L E2' L', U']</t>
  </si>
  <si>
    <t>[U' R : [S, R2]]</t>
  </si>
  <si>
    <t>[U : [U M' U', R']]</t>
  </si>
  <si>
    <t>[R U R : [E, R2]]</t>
  </si>
  <si>
    <t>[U'D' L' : [E, R2]]</t>
  </si>
  <si>
    <t>U' R U R U' R' U' R' U' R U2</t>
  </si>
  <si>
    <t>[U'D L' : [E, L2]]</t>
  </si>
  <si>
    <t>[U' L' : [E, L2]]</t>
  </si>
  <si>
    <t>[R u R : [E, R2]]</t>
  </si>
  <si>
    <t>[R' U R, E]</t>
  </si>
  <si>
    <t>[R UE R' : [E', R2]]</t>
  </si>
  <si>
    <t>[R' U R, E']</t>
  </si>
  <si>
    <t>[S' U' L' : [E, L2]]</t>
  </si>
  <si>
    <t>[R' : [U, R' E R]]</t>
  </si>
  <si>
    <t>[L E : [E, L' U' L]]</t>
  </si>
  <si>
    <t>[M, U R' U']</t>
  </si>
  <si>
    <t>[R U R' : [E', R2]]</t>
  </si>
  <si>
    <t>[R' E2 R, U]</t>
  </si>
  <si>
    <t>[E' : [L' E L, U']]</t>
  </si>
  <si>
    <t>[R' U R : [E', R2]]</t>
  </si>
  <si>
    <t>[U' : [U' M' U, L]]</t>
  </si>
  <si>
    <t>[U L' : [S', L2]]</t>
  </si>
  <si>
    <t>[UD R : [E', R2]]</t>
  </si>
  <si>
    <t>[U R : [E', R2]]</t>
  </si>
  <si>
    <t>[UD' R : [E', R2]]</t>
  </si>
  <si>
    <t>U L' U' L' U L U L U L' U2</t>
  </si>
  <si>
    <t>[L U' L', E]</t>
  </si>
  <si>
    <t>[R' E' : [E', R U R']]</t>
  </si>
  <si>
    <t>[L : [U', L E' L']]</t>
  </si>
  <si>
    <t>[S U R : [E', R2]]</t>
  </si>
  <si>
    <t>[L' U'E' L : [E, L2]]</t>
  </si>
  <si>
    <t>[L U' L', E']</t>
  </si>
  <si>
    <t>[S' U R : [E', R2]]</t>
  </si>
  <si>
    <t>[M, U' L U]</t>
  </si>
  <si>
    <t>[R U R : [E', R2]]</t>
  </si>
  <si>
    <t>PROGRESS (360 TOTAL)</t>
  </si>
  <si>
    <t>[U2, R' S2 R]</t>
  </si>
  <si>
    <t>[M U : [M, U2]]</t>
  </si>
  <si>
    <t>[R E2 R', U2]</t>
  </si>
  <si>
    <t>[U' : [M', U2]]</t>
  </si>
  <si>
    <t>[S, R2]</t>
  </si>
  <si>
    <t>[U : [M, U2]]</t>
  </si>
  <si>
    <t>[L2, S']</t>
  </si>
  <si>
    <t>[U2, L' E L]</t>
  </si>
  <si>
    <t>[R E R', U2]</t>
  </si>
  <si>
    <t>[U2, L E' L']</t>
  </si>
  <si>
    <t>[R E' R', U2]</t>
  </si>
  <si>
    <t>[R' E R, U2]</t>
  </si>
  <si>
    <t>[U2, L' E' L]</t>
  </si>
  <si>
    <t>[M' U' : [M', U2]]</t>
  </si>
  <si>
    <t>[U2, L E2' L']</t>
  </si>
  <si>
    <t>[R' E2 R, U2]</t>
  </si>
  <si>
    <t>[R' S2 R, U2]</t>
  </si>
  <si>
    <t>[U M' U', R]</t>
  </si>
  <si>
    <t>[U R' U' R : [E, R2]]</t>
  </si>
  <si>
    <t>[U' M2 U, R]</t>
  </si>
  <si>
    <t>[E2 R : [E', R2]]</t>
  </si>
  <si>
    <t>[U M2 U', R]</t>
  </si>
  <si>
    <t>[U2 L : [E', L2]]</t>
  </si>
  <si>
    <t>[U : [R U' R', E']]</t>
  </si>
  <si>
    <t>[R U' : [E, R' U R]]</t>
  </si>
  <si>
    <t>[u R' : [R' E R, U']]</t>
  </si>
  <si>
    <t>[U M U', R]</t>
  </si>
  <si>
    <t>[U' : [R U R', E]]</t>
  </si>
  <si>
    <t>[D : [U M' U', R]]</t>
  </si>
  <si>
    <t>[U' M U, R]</t>
  </si>
  <si>
    <t>[U2 R' : [S, R2]]</t>
  </si>
  <si>
    <t>[U R' U' R' : [E', R2]]</t>
  </si>
  <si>
    <t>I made this list so I can float UR in the case that UF and UB are solved before the rest of edges are. That's why there's nothing including UF/UB here.</t>
  </si>
  <si>
    <t>[M U' : [M, U2]]</t>
  </si>
  <si>
    <t>[R, U M' U']</t>
  </si>
  <si>
    <t>[U : [U L' U', M']]</t>
  </si>
  <si>
    <t>[S' U' : [M', U2]]</t>
  </si>
  <si>
    <t>[r : [U' R' U, M']]</t>
  </si>
  <si>
    <t>[L F L : [S', L2]]</t>
  </si>
  <si>
    <t>[l' U : [U, l' E l]]</t>
  </si>
  <si>
    <t>[S', R' F' R]</t>
  </si>
  <si>
    <t>[l' U : [U, l E' l']]</t>
  </si>
  <si>
    <t>[M' : [R E' R', U']]</t>
  </si>
  <si>
    <t>[S, R' F' R]</t>
  </si>
  <si>
    <t>[M' : [r' E r, U']]</t>
  </si>
  <si>
    <t>[l' : [R' E R, U']]</t>
  </si>
  <si>
    <t>M' U M U2 M U' M' U2</t>
  </si>
  <si>
    <t>[R', U M' U']</t>
  </si>
  <si>
    <t>[U2, R E2 R']</t>
  </si>
  <si>
    <t>[U R' U' R' : [E, R2]]</t>
  </si>
  <si>
    <t>[U : [M', U L' U']]</t>
  </si>
  <si>
    <t>[D R' : [E, R2]]</t>
  </si>
  <si>
    <t>[R' : [E, R2]]</t>
  </si>
  <si>
    <t>[D' R' : [E, R2]]</t>
  </si>
  <si>
    <t>[u2 L' : [E, L2]]</t>
  </si>
  <si>
    <t>[L' : [U2, L' E L]]</t>
  </si>
  <si>
    <t>[S', R' F2 R]</t>
  </si>
  <si>
    <t>[L' U2 L, E']</t>
  </si>
  <si>
    <t>[L' U2 L, E]</t>
  </si>
  <si>
    <t>[S, R' F2 R]</t>
  </si>
  <si>
    <t>[l' : [R' E R, U2]]</t>
  </si>
  <si>
    <t>[l' U' : [M', U2]]</t>
  </si>
  <si>
    <t>[U R U' R' : [E, R2]]</t>
  </si>
  <si>
    <t>[L : [S', L2]]</t>
  </si>
  <si>
    <t>[U : [M', U2]]</t>
  </si>
  <si>
    <t>[R, U' M2 U]</t>
  </si>
  <si>
    <t>[D R : [E, R2]]</t>
  </si>
  <si>
    <t>[R' D' R' : [S', R2]]</t>
  </si>
  <si>
    <t>u' M' u2 M' u'</t>
  </si>
  <si>
    <t>[L' D R : [E, R2]]</t>
  </si>
  <si>
    <t>[f' R' : [S, R2]]</t>
  </si>
  <si>
    <t>[R F' R', S]</t>
  </si>
  <si>
    <t>[L F : [L' S' L, F]]</t>
  </si>
  <si>
    <t>[L : [L F L', S']]</t>
  </si>
  <si>
    <t>[L F L', S']</t>
  </si>
  <si>
    <t>[F, L' S' L]</t>
  </si>
  <si>
    <t>[U L F' : [E', L2]]</t>
  </si>
  <si>
    <t>[UD' : [S', R F R']]</t>
  </si>
  <si>
    <t>[R', U' M2 U]</t>
  </si>
  <si>
    <t>[D R' : [E', R2]]</t>
  </si>
  <si>
    <t>[R2, S]</t>
  </si>
  <si>
    <t>[E2 R' : [E', R2]]</t>
  </si>
  <si>
    <t>[S' U : [M', U2]]</t>
  </si>
  <si>
    <t>[R : [E, R2]]</t>
  </si>
  <si>
    <t>[R' D' R : [S', R2]]</t>
  </si>
  <si>
    <t>[R' D R' : [S', R2]]</t>
  </si>
  <si>
    <t>[S', R2]</t>
  </si>
  <si>
    <t>[E R' : [E', R2]]</t>
  </si>
  <si>
    <t>[E' R : [E, R2]]</t>
  </si>
  <si>
    <t>[E R : [E, R2]]</t>
  </si>
  <si>
    <t>[D' : [L F L', S']]</t>
  </si>
  <si>
    <t>[E' R' : [E', R2]]</t>
  </si>
  <si>
    <t>[U : [L' F' L, S]]</t>
  </si>
  <si>
    <t>[S' U' : [M, U2]]</t>
  </si>
  <si>
    <t>[E2 R : [E, R2]]</t>
  </si>
  <si>
    <t>[R' : [E', R2]]</t>
  </si>
  <si>
    <t>[U' : [M, U2]]</t>
  </si>
  <si>
    <t>[R, U M2 U']</t>
  </si>
  <si>
    <t>[UD : [R F R', S']]</t>
  </si>
  <si>
    <t>[D' R : [E, R2]]</t>
  </si>
  <si>
    <t>u M u2 M u</t>
  </si>
  <si>
    <t>[R' D R : [S', R2]]</t>
  </si>
  <si>
    <t>[L' D' R : [E, R2]]</t>
  </si>
  <si>
    <t>[r' U' : [L E' L', U']]</t>
  </si>
  <si>
    <t>[R' B R, S]</t>
  </si>
  <si>
    <t>[r' u R : [E, R2]]</t>
  </si>
  <si>
    <t>[l : [R U' R', S']]</t>
  </si>
  <si>
    <t>[L' B' L, S']</t>
  </si>
  <si>
    <t>[l' : [S, R' F' R]]</t>
  </si>
  <si>
    <t>[D L F L' : [S', L2]]</t>
  </si>
  <si>
    <t>[R', U M2 U']</t>
  </si>
  <si>
    <t>[D' R' : [E', R2]]</t>
  </si>
  <si>
    <t>[S', L2]</t>
  </si>
  <si>
    <t>[U2 L' : [E', L2]]</t>
  </si>
  <si>
    <t>[L F L' : [S', L2]]</t>
  </si>
  <si>
    <t>[u2 L : [E, L2]]</t>
  </si>
  <si>
    <t>[L' D R' : [E, R2]]</t>
  </si>
  <si>
    <t>[R2, S']</t>
  </si>
  <si>
    <t>[L' D' R' : [E, R2]]</t>
  </si>
  <si>
    <t>[uU L' : [E', L2]]</t>
  </si>
  <si>
    <t>[U : [S', R F R']]</t>
  </si>
  <si>
    <t>[u'U' L : [E, L2]]</t>
  </si>
  <si>
    <t>[uU L : [E, L2]]</t>
  </si>
  <si>
    <t>[D : [L F L', S']]</t>
  </si>
  <si>
    <t>[u'U' L' : [E', L2]]</t>
  </si>
  <si>
    <t>[r' U' L : [E', L2]]</t>
  </si>
  <si>
    <t>[U2 L : [E, L2]]</t>
  </si>
  <si>
    <t>[u2 L' : [E', L2]]</t>
  </si>
  <si>
    <t>[L' E L, U2]</t>
  </si>
  <si>
    <t>[U : [E', R U' R']]</t>
  </si>
  <si>
    <t>[l' U : [l' E l, U]]</t>
  </si>
  <si>
    <t>[L' : [L' E L, U2]]</t>
  </si>
  <si>
    <t>[f' R : [S, R2]]</t>
  </si>
  <si>
    <t>[E R : [E', R2]]</t>
  </si>
  <si>
    <t>[r' U' : [U', L E' L']]</t>
  </si>
  <si>
    <t>[uU L : [E', L2]]</t>
  </si>
  <si>
    <t>[U' R U, S]</t>
  </si>
  <si>
    <t>[S' R : [S, R2]]</t>
  </si>
  <si>
    <t>[E L' : [S', L2]]</t>
  </si>
  <si>
    <t>[R' U2 R, S']</t>
  </si>
  <si>
    <t>[u R' U' R' : [E', R2]]</t>
  </si>
  <si>
    <t>[L E L' : [S', L2]]</t>
  </si>
  <si>
    <t>[l U' : [l' E l, U']]</t>
  </si>
  <si>
    <t>[E, L U2 L']</t>
  </si>
  <si>
    <t>[U2, R E R']</t>
  </si>
  <si>
    <t>[R U' : [R' U R, E]]</t>
  </si>
  <si>
    <t>[R' F' R, S']</t>
  </si>
  <si>
    <t>[R' F2 R, S']</t>
  </si>
  <si>
    <t>[S, R F' R']</t>
  </si>
  <si>
    <t>[S, R' B R]</t>
  </si>
  <si>
    <t>[U : [R F R', S']]</t>
  </si>
  <si>
    <t>[S, U' R U]</t>
  </si>
  <si>
    <t>[S, U R' U']</t>
  </si>
  <si>
    <t>[S, R' B2 R]</t>
  </si>
  <si>
    <t>[D' : [S, R' F' R]]</t>
  </si>
  <si>
    <t>[S, R F2 R']</t>
  </si>
  <si>
    <t>[U R' F R : [S', R2]]</t>
  </si>
  <si>
    <t>[R B R', S']</t>
  </si>
  <si>
    <t>[R' U' : [R U R', E']]</t>
  </si>
  <si>
    <t>[R B2 R', S']</t>
  </si>
  <si>
    <t>[L E' L', U2]</t>
  </si>
  <si>
    <t>[l' U : [l E' l', U]]</t>
  </si>
  <si>
    <t>[E', L' U2 L]</t>
  </si>
  <si>
    <t>[L F : [F, L' S' L]]</t>
  </si>
  <si>
    <t>[E' R' : [E, R2]]</t>
  </si>
  <si>
    <t>[r' u R' : [E, R2]]</t>
  </si>
  <si>
    <t>[u'U' L' : [E, L2]]</t>
  </si>
  <si>
    <t>[S' R' : [S, R2]]</t>
  </si>
  <si>
    <t>[U R' U', S]</t>
  </si>
  <si>
    <t>[u R U' R' : [E, R2]]</t>
  </si>
  <si>
    <t>[R U2 R', S']</t>
  </si>
  <si>
    <t>[E' L : [S', L2]]</t>
  </si>
  <si>
    <t>[L' E' L : [S', L2]]</t>
  </si>
  <si>
    <t>[l U' : [U', l E' l']]</t>
  </si>
  <si>
    <t>[U' : [E, R' U R]]</t>
  </si>
  <si>
    <t>[u' R' : [U, R' E R]]</t>
  </si>
  <si>
    <t>[U2, R E' R']</t>
  </si>
  <si>
    <t>[u R' : [U', R' E R]]</t>
  </si>
  <si>
    <t>[M' : [U', R E' R']]</t>
  </si>
  <si>
    <t>[E, L' U2 L]</t>
  </si>
  <si>
    <t>[L : [S', L F L']]</t>
  </si>
  <si>
    <t>[E R' : [E, R2]]</t>
  </si>
  <si>
    <t>[l : [S', R U' R']]</t>
  </si>
  <si>
    <t>[uU L' : [E, L2]]</t>
  </si>
  <si>
    <t>[E L : [S', L2]]</t>
  </si>
  <si>
    <t>[R' B2 R, S]</t>
  </si>
  <si>
    <t>[u R U' R : [E, R2]]</t>
  </si>
  <si>
    <t>[E' R E, l']</t>
  </si>
  <si>
    <t>[S L : [S, L2]]</t>
  </si>
  <si>
    <t>[E' l E, R]</t>
  </si>
  <si>
    <t>[M : [U, r E' r']]</t>
  </si>
  <si>
    <t>[U : [E', R' U' R]]</t>
  </si>
  <si>
    <t>[R, U M U']</t>
  </si>
  <si>
    <t>[R' F' R, S]</t>
  </si>
  <si>
    <t>[R' F2 R, S]</t>
  </si>
  <si>
    <t>[S', L F L']</t>
  </si>
  <si>
    <t>[D' : [S', L F L']]</t>
  </si>
  <si>
    <t>[S', L' B' L]</t>
  </si>
  <si>
    <t>[D : [S', L F L']]</t>
  </si>
  <si>
    <t>[S', R' U2 R]</t>
  </si>
  <si>
    <t>[D' : [R' F' R, S]]</t>
  </si>
  <si>
    <t>[S', R U2 R']</t>
  </si>
  <si>
    <t>[l', E' R E]</t>
  </si>
  <si>
    <t>[l, E R' E']</t>
  </si>
  <si>
    <t>[D : [R' F' R, S]]</t>
  </si>
  <si>
    <t>[R B R', S]</t>
  </si>
  <si>
    <t>[R', U M U']</t>
  </si>
  <si>
    <t>[R B2 R', S]</t>
  </si>
  <si>
    <t>[U2, R' E R]</t>
  </si>
  <si>
    <t>[U' : [E, R U R']]</t>
  </si>
  <si>
    <t>[M' : [U', r' E r]]</t>
  </si>
  <si>
    <t>[L' S' L, F]</t>
  </si>
  <si>
    <t>[E' R : [E', R2]]</t>
  </si>
  <si>
    <t>[l' : [R' F' R, S]]</t>
  </si>
  <si>
    <t>[u'U' L : [E', L2]]</t>
  </si>
  <si>
    <t>[u R' U' R : [E', R2]]</t>
  </si>
  <si>
    <t>[R F2 R', S]</t>
  </si>
  <si>
    <t>[E' L' : [S', L2]]</t>
  </si>
  <si>
    <t>[S L' : [S, L2]]</t>
  </si>
  <si>
    <t>[E R' E', l]</t>
  </si>
  <si>
    <t>[E l' E', R']</t>
  </si>
  <si>
    <t>[M : [U, R' E R]]</t>
  </si>
  <si>
    <t>[U R' : [R' E R, U']]</t>
  </si>
  <si>
    <t>[E', L U2 L']</t>
  </si>
  <si>
    <t>[L' E' L, U2]</t>
  </si>
  <si>
    <t>[D : [R, U M' U']]</t>
  </si>
  <si>
    <t>[l' : [U', R' E R]]</t>
  </si>
  <si>
    <t>[l' : [U2, R' E R]]</t>
  </si>
  <si>
    <t>[U L F' : [L2, E']]</t>
  </si>
  <si>
    <t>[U : [S, L' F' L]]</t>
  </si>
  <si>
    <t>[D L F L : [S', L2]]</t>
  </si>
  <si>
    <t>[L E L : [S', L2]]</t>
  </si>
  <si>
    <t>[U R' F R' : [S', R2]]</t>
  </si>
  <si>
    <t>[R, E' l E]</t>
  </si>
  <si>
    <t>[D : [S, R' F' R]]</t>
  </si>
  <si>
    <t>[R', E l' E']</t>
  </si>
  <si>
    <t>[l : [U, R E' R']]</t>
  </si>
  <si>
    <t>[D : [R', U M' U']]</t>
  </si>
  <si>
    <t>[l : [U2, R E' R']]</t>
  </si>
  <si>
    <t>[R, U' M U]</t>
  </si>
  <si>
    <t>M U' M' U2 M' U M U2</t>
  </si>
  <si>
    <t>[l' U : [M', U2]]</t>
  </si>
  <si>
    <t>[UD' : [R F R', S']]</t>
  </si>
  <si>
    <t>[S' U : [M, U2]]</t>
  </si>
  <si>
    <t>[r' U' L' : [E', L2]]</t>
  </si>
  <si>
    <t>[l U' : [U', l' E l]]</t>
  </si>
  <si>
    <t>[S', R B R']</t>
  </si>
  <si>
    <t>[l U' : [l E' l', U']]</t>
  </si>
  <si>
    <t>[M : [r E' r', U]]</t>
  </si>
  <si>
    <t>[S, R B R']</t>
  </si>
  <si>
    <t>[M : [R' E R, U]]</t>
  </si>
  <si>
    <t>[l : [R E' R', U]]</t>
  </si>
  <si>
    <t>[R', U' M U]</t>
  </si>
  <si>
    <t>[LM' U : [M', U2]]</t>
  </si>
  <si>
    <t>[L E2' L', U2]</t>
  </si>
  <si>
    <t>[U2 R : [S, R2]]</t>
  </si>
  <si>
    <t>[U M' U', R']</t>
  </si>
  <si>
    <t>[U R U' R : [E, R2]]</t>
  </si>
  <si>
    <t>[U' M2 U, R']</t>
  </si>
  <si>
    <t>[E2 R' : [E, R2]]</t>
  </si>
  <si>
    <t>[U M2 U', R']</t>
  </si>
  <si>
    <t>[U2 L' : [E, L2]]</t>
  </si>
  <si>
    <t>[R' U : [E', R U' R']]</t>
  </si>
  <si>
    <t>[U' : [R' U R, E]]</t>
  </si>
  <si>
    <t>[U : [R' U' R, E']]</t>
  </si>
  <si>
    <t>[U M U', R']</t>
  </si>
  <si>
    <t>[U R' : [U', R' E R]]</t>
  </si>
  <si>
    <t>[D : [U M' U', R']]</t>
  </si>
  <si>
    <t>[U' M U, R']</t>
  </si>
  <si>
    <t>[U R U' R' : [E', R2]]</t>
  </si>
  <si>
    <t>[U2, R' E2 R]</t>
  </si>
  <si>
    <t>[U R' U' R : [E', R2]]</t>
  </si>
  <si>
    <t>[L' : [S', L2]]</t>
  </si>
  <si>
    <t>[D R : [E', R2]]</t>
  </si>
  <si>
    <t>[R : [E', R2]]</t>
  </si>
  <si>
    <t>[D' R : [E', R2]]</t>
  </si>
  <si>
    <t>[u2 L : [E', L2]]</t>
  </si>
  <si>
    <t>[L U2 L', E]</t>
  </si>
  <si>
    <t>[S', R B2 R']</t>
  </si>
  <si>
    <t>[u' R' : [R' E R, U]]</t>
  </si>
  <si>
    <t>[S, R B2 R']</t>
  </si>
  <si>
    <t>[L U2 L', E']</t>
  </si>
  <si>
    <t>[l : [R E' R', U2]]</t>
  </si>
  <si>
    <t>[LM' U' : [M', U2]]</t>
  </si>
  <si>
    <t>[U R U' R : [E', R2]]</t>
  </si>
  <si>
    <t>PROGRESS (288 TOTAL)</t>
  </si>
  <si>
    <t>[U' : [M', U' R U]]</t>
  </si>
  <si>
    <t>[R' U2 R : [E, R2]]</t>
  </si>
  <si>
    <t>[D' L : [E', L2]]</t>
  </si>
  <si>
    <t>[u2 R : [E', R2]]</t>
  </si>
  <si>
    <t>[D L : [E', L2]]</t>
  </si>
  <si>
    <t>[L : [E', L2]]</t>
  </si>
  <si>
    <t>[R U2 R', E']</t>
  </si>
  <si>
    <t>[r : [L E' L', U2]]</t>
  </si>
  <si>
    <t>[R : [U2, R E' R']]</t>
  </si>
  <si>
    <t>[R U2 R', E]</t>
  </si>
  <si>
    <t>[S, R U2 R']</t>
  </si>
  <si>
    <t>[r U : [M', U2]]</t>
  </si>
  <si>
    <t>[R' : [S, R2]]</t>
  </si>
  <si>
    <t>[R' U2 R' : [E', R2]]</t>
  </si>
  <si>
    <t>[U' : [U' R U, M']]</t>
  </si>
  <si>
    <t>[L', U' M' U]</t>
  </si>
  <si>
    <t>[R' F' R' : [S, R2]]</t>
  </si>
  <si>
    <t>[l' : [U L U', M']]</t>
  </si>
  <si>
    <t>[S U : [M', U2]]</t>
  </si>
  <si>
    <t>[M' : [L' E L, U]]</t>
  </si>
  <si>
    <t>[r : [L E' L', U]]</t>
  </si>
  <si>
    <t>[M' : [l E' l', U]]</t>
  </si>
  <si>
    <t>[r U' : [U', r E' r']]</t>
  </si>
  <si>
    <t>[r U' : [U', r' E r]]</t>
  </si>
  <si>
    <t>[R' D' R, S']</t>
  </si>
  <si>
    <t>M' U' M U2 M U M' U2</t>
  </si>
  <si>
    <t>[r' U : [M, U2]]</t>
  </si>
  <si>
    <t>[L, U' M' U]</t>
  </si>
  <si>
    <t>I made this list so I can float UL in the case that UF, UB, and UR are solved before the rest of edges are. That's why there's nothing including UF/UB/UR here.</t>
  </si>
  <si>
    <t>[R' U2 R' : [E, R2]]</t>
  </si>
  <si>
    <t>[U' M' U, L']</t>
  </si>
  <si>
    <t>[U M2 U', L']</t>
  </si>
  <si>
    <t>[U2 R' : [E, R2]]</t>
  </si>
  <si>
    <t>[U' M2 U, L']</t>
  </si>
  <si>
    <t>[E2' L' : [E, L2]]</t>
  </si>
  <si>
    <t>[u' L : [L E' L', U]]</t>
  </si>
  <si>
    <t>[E l E', R]</t>
  </si>
  <si>
    <t>[U : [L' U' L, E']]</t>
  </si>
  <si>
    <t>[U' : [L' U L, E]]</t>
  </si>
  <si>
    <t>[L' U : [E', L U' L']]</t>
  </si>
  <si>
    <t>[U M U', L']</t>
  </si>
  <si>
    <t>[R U2 R' : [E, R2]]</t>
  </si>
  <si>
    <t>[U2 L : [S', L2]]</t>
  </si>
  <si>
    <t>[D' L' : [E', L2]]</t>
  </si>
  <si>
    <t>[L', U M2 U']</t>
  </si>
  <si>
    <t>[R2 U' : [M', U2]]</t>
  </si>
  <si>
    <t>u M' u2 M' u</t>
  </si>
  <si>
    <t>[L D L : [S, L2]]</t>
  </si>
  <si>
    <t>[R' : [R' F' R, S]]</t>
  </si>
  <si>
    <t>[U' R' F : [E, R2]]</t>
  </si>
  <si>
    <t>[F', R S R']</t>
  </si>
  <si>
    <t>[R E' R' U' : [M', U2]]</t>
  </si>
  <si>
    <t>[R' F' : [R S R', F']]</t>
  </si>
  <si>
    <t>[L' F L, S']</t>
  </si>
  <si>
    <t>[U'D' : [S', R F R']]</t>
  </si>
  <si>
    <t>[D' L : [E, L2]]</t>
  </si>
  <si>
    <t>[L, U M2 U']</t>
  </si>
  <si>
    <t>[u2 R' : [E', R2]]</t>
  </si>
  <si>
    <t>[R' F' R : [S, R2]]</t>
  </si>
  <si>
    <t>[U2 R : [E, R2]]</t>
  </si>
  <si>
    <t>[R2 U : [M', U2]]</t>
  </si>
  <si>
    <t>[R2 U' : [M, U2]]</t>
  </si>
  <si>
    <t>[L2, S]</t>
  </si>
  <si>
    <t>[u'U' R' : [E', R2]]</t>
  </si>
  <si>
    <t>[uU R : [E, R2]]</t>
  </si>
  <si>
    <t>[u'U' R : [E, R2]]</t>
  </si>
  <si>
    <t>[uU R' : [E', R2]]</t>
  </si>
  <si>
    <t>[U' : [L' F' L, S]]</t>
  </si>
  <si>
    <t>[l U R' : [E, R2]]</t>
  </si>
  <si>
    <t>[u2 R : [E, R2]]</t>
  </si>
  <si>
    <t>[U2 R' : [E', R2]]</t>
  </si>
  <si>
    <t>[D L' : [E', L2]]</t>
  </si>
  <si>
    <t>[U'D : [S', R F R']]</t>
  </si>
  <si>
    <t>[L', U' M2 U]</t>
  </si>
  <si>
    <t>u' M u2 M u'</t>
  </si>
  <si>
    <t>[R2 U : [M, U2]]</t>
  </si>
  <si>
    <t>[L D' L : [S, L2]]</t>
  </si>
  <si>
    <t>[r' : [L' U L, S]]</t>
  </si>
  <si>
    <t>[D' R' F' R : [S, R2]]</t>
  </si>
  <si>
    <t>[r : [S', L F L']]</t>
  </si>
  <si>
    <t>[l U : [R' E R, U]]</t>
  </si>
  <si>
    <t>[l u' L' : [E', L2]]</t>
  </si>
  <si>
    <t>[L B' L', S']</t>
  </si>
  <si>
    <t>[D L : [E, L2]]</t>
  </si>
  <si>
    <t>[L, U' M2 U]</t>
  </si>
  <si>
    <t>[L' : [E', L2]]</t>
  </si>
  <si>
    <t>[S U' : [M', U2]]</t>
  </si>
  <si>
    <t>[E2' L : [E, L2]]</t>
  </si>
  <si>
    <t>[L D L' : [S, L2]]</t>
  </si>
  <si>
    <t>[S, L2]</t>
  </si>
  <si>
    <t>[L D' L' : [S, L2]]</t>
  </si>
  <si>
    <t>[E' L' : [E', L2]]</t>
  </si>
  <si>
    <t>[U' : [S', R F R']]</t>
  </si>
  <si>
    <t>[E L : [E, L2]]</t>
  </si>
  <si>
    <t>[E' L : [E, L2]]</t>
  </si>
  <si>
    <t>[E L' : [E', L2]]</t>
  </si>
  <si>
    <t>[S U : [M, U2]</t>
  </si>
  <si>
    <t>[L : [E, L2]]</t>
  </si>
  <si>
    <t>[E2' L' : [E', L2]]</t>
  </si>
  <si>
    <t>[E', R U2 R']</t>
  </si>
  <si>
    <t>[M' : [U, L' E L]]</t>
  </si>
  <si>
    <t>[u' L : [U, L E' L']]</t>
  </si>
  <si>
    <t>[R' : [S, R' F' R]]</t>
  </si>
  <si>
    <t>[u'U' R : [E', R2]]</t>
  </si>
  <si>
    <t>[r' : [S, L' U L]]</t>
  </si>
  <si>
    <t>[E' L : [E', L2]]</t>
  </si>
  <si>
    <t>[R' : [U' M' U, R']]</t>
  </si>
  <si>
    <t>[S' R' : [S', R2]]</t>
  </si>
  <si>
    <t>[E' R' : [S, R2]]</t>
  </si>
  <si>
    <t>[u' R' U' R : [E', R2]]</t>
  </si>
  <si>
    <t>[R D2 R', S']</t>
  </si>
  <si>
    <t>[M : [U', l' E l]]</t>
  </si>
  <si>
    <t>[U' : [E, L U L']]</t>
  </si>
  <si>
    <t>[r : [U2, L E' L']]</t>
  </si>
  <si>
    <t>[r : [U, L E' L']]</t>
  </si>
  <si>
    <t>[R, E l E']</t>
  </si>
  <si>
    <t>[U' R' F : [R2, E]]</t>
  </si>
  <si>
    <t>[D' R' F' R' : [S, R2]]</t>
  </si>
  <si>
    <t>[U' : [R F R', S']]</t>
  </si>
  <si>
    <t>[R' : [R', U' M' U]]</t>
  </si>
  <si>
    <t>[r, E' L E]</t>
  </si>
  <si>
    <t>[R' E' R' : [S, R2]]</t>
  </si>
  <si>
    <t>[R E R' : [S, R2]]</t>
  </si>
  <si>
    <t>[U' R' F R : [S', R2]]</t>
  </si>
  <si>
    <t>[r' : [U', L' E L]]</t>
  </si>
  <si>
    <t>[r' : [U2, L' E L]]</t>
  </si>
  <si>
    <t>[r U' : [r E' r', U']]</t>
  </si>
  <si>
    <t>[U : [E', L' U' L]]</t>
  </si>
  <si>
    <t>[R S R', F']</t>
  </si>
  <si>
    <t>[uU R' : [E, R2]]</t>
  </si>
  <si>
    <t>[r : [L F L', S']]</t>
  </si>
  <si>
    <t>[E L' : [E, L2]]</t>
  </si>
  <si>
    <t>[S' R : [S', R2]]</t>
  </si>
  <si>
    <t>[E' L E, r]</t>
  </si>
  <si>
    <t>[u' R U' R : [E, R2]]</t>
  </si>
  <si>
    <t>[E R : [S, R2]]</t>
  </si>
  <si>
    <t>[R' D2 R, S']</t>
  </si>
  <si>
    <t>[M : [U', L E' L']]</t>
  </si>
  <si>
    <t>[E, R' U2 R]</t>
  </si>
  <si>
    <t>[u' R' : [U', R' E R]]</t>
  </si>
  <si>
    <t>[R : [R E' R', U2]]</t>
  </si>
  <si>
    <t>[r U' : [r' E r, U']]</t>
  </si>
  <si>
    <t>[U' : [E, L' U L]]</t>
  </si>
  <si>
    <t>[R E' R' U : [M', U2]]</t>
  </si>
  <si>
    <t>[u'U' R' : [E, R2]]</t>
  </si>
  <si>
    <t>[l U : [U, R' E R]]</t>
  </si>
  <si>
    <t>[E' L' : [E, L2]]</t>
  </si>
  <si>
    <t>[E' R : [S, R2]]</t>
  </si>
  <si>
    <t>[R' E' R : [S, R2]]</t>
  </si>
  <si>
    <t>[u' R U' R' : [E, R2]]</t>
  </si>
  <si>
    <t>[S L' : [S', L2]]</t>
  </si>
  <si>
    <t>[U L' U', S']</t>
  </si>
  <si>
    <t>[r' U : [r E' r', U]]</t>
  </si>
  <si>
    <t>[E', R' U2 R]</t>
  </si>
  <si>
    <t>[E, R U2 R']</t>
  </si>
  <si>
    <t>[r U' : [r' E r, U]]</t>
  </si>
  <si>
    <t>[R' F' : [F', R S R']]</t>
  </si>
  <si>
    <t>[uU R : [E', R2]]</t>
  </si>
  <si>
    <t>[l u' L : [E', L2]]</t>
  </si>
  <si>
    <t>[E L : [E', L2]]</t>
  </si>
  <si>
    <t>[u' R' U' R' : [E', R2]]</t>
  </si>
  <si>
    <t>[R E R' : [R2, S]]</t>
  </si>
  <si>
    <t>[E R' : [S, R2]]</t>
  </si>
  <si>
    <t>[S L : [S', L2]]</t>
  </si>
  <si>
    <t>[U' L U, S']</t>
  </si>
  <si>
    <t>[r' U : [r' E r, U]]</t>
  </si>
  <si>
    <t>[R' : [R' E R, U2]]</t>
  </si>
  <si>
    <t>[U : [E', L U' L']]</t>
  </si>
  <si>
    <t>[R U2 R', S]</t>
  </si>
  <si>
    <t>[S', R' D' R]</t>
  </si>
  <si>
    <t>[L' U : [L U' L', E']]</t>
  </si>
  <si>
    <t>[S', L' F L]</t>
  </si>
  <si>
    <t>[U' : [S, L' F' L]]</t>
  </si>
  <si>
    <t>[S', L B' L']</t>
  </si>
  <si>
    <t>[S', R D2 R']</t>
  </si>
  <si>
    <t>[U' R' F R' : [S', R2]]</t>
  </si>
  <si>
    <t>[S', R' D2 R]</t>
  </si>
  <si>
    <t>[S', U L' U']</t>
  </si>
  <si>
    <t>[S', U' L U]</t>
  </si>
  <si>
    <t>[S', R' D R]</t>
  </si>
  <si>
    <t>[R' U2 R, S]</t>
  </si>
  <si>
    <t>[L U' : [L' U L, E]]</t>
  </si>
  <si>
    <t>[r U' : [M', U2]]</t>
  </si>
  <si>
    <t>M U M' U2 M' U' M U2</t>
  </si>
  <si>
    <t>[L', U M U']</t>
  </si>
  <si>
    <t>[U'D' : [R F R', S']]</t>
  </si>
  <si>
    <t>[l U R : [E, R2]]</t>
  </si>
  <si>
    <t>[S U' : [M, U2]</t>
  </si>
  <si>
    <t>[M : [l' E l, U']]</t>
  </si>
  <si>
    <t>[r' : [L' E L, U']]</t>
  </si>
  <si>
    <t>[M : [L E' L', U']]</t>
  </si>
  <si>
    <t>[r' U : [U, r E' r']]</t>
  </si>
  <si>
    <t>[r' U : [U, r' E r]]</t>
  </si>
  <si>
    <t>[R' D R, S']</t>
  </si>
  <si>
    <t>[M'R' U' : [M', U2]]</t>
  </si>
  <si>
    <t>[L, U M U']</t>
  </si>
  <si>
    <t>[R : [S, R2]]</t>
  </si>
  <si>
    <t>[r' U' : [M, U2]]</t>
  </si>
  <si>
    <t>[R U2 R : [E, R2]]</t>
  </si>
  <si>
    <t>[D' L' : [E, L2]]</t>
  </si>
  <si>
    <t>[u2 R' : [E, R2]]</t>
  </si>
  <si>
    <t>[D L' : [E, L2]]</t>
  </si>
  <si>
    <t>[L' : [E, L2]]</t>
  </si>
  <si>
    <t>[r' : [L' E L, U2]]</t>
  </si>
  <si>
    <t>[R' U2 R, E]</t>
  </si>
  <si>
    <t>[R' U2 R, E']</t>
  </si>
  <si>
    <t>[R' : [U2, R' E R]]</t>
  </si>
  <si>
    <t>[S, R' U2 R]</t>
  </si>
  <si>
    <t>[M'R' U : [M', U2]]</t>
  </si>
  <si>
    <t>[R U2 R' : [E', R2]]</t>
  </si>
  <si>
    <t>[R' U2 R : [E', R2]]</t>
  </si>
  <si>
    <t>[U' M' U, L]</t>
  </si>
  <si>
    <t>[U2 L' : [S', L2]]</t>
  </si>
  <si>
    <t>[U M2 U', L]</t>
  </si>
  <si>
    <t>[U2 R : [E', R2]]</t>
  </si>
  <si>
    <t>[U' M2 U, L]</t>
  </si>
  <si>
    <t>[E2' L : [E', L2]]</t>
  </si>
  <si>
    <t>[U' : [L U L', E]]</t>
  </si>
  <si>
    <t>[u' R' : [R' E R, U']]</t>
  </si>
  <si>
    <t>[U : [L U' L', E']]</t>
  </si>
  <si>
    <t>[L U' : [E, L' U L]]</t>
  </si>
  <si>
    <t>[U M U', L]</t>
  </si>
  <si>
    <t>[R U2 R : [E', R2]]</t>
  </si>
  <si>
    <t>PROGRESS (224 TOTAL)</t>
  </si>
  <si>
    <t>[r : [r E2 r', U']]</t>
  </si>
  <si>
    <t>[R : [R, U M' U']]</t>
  </si>
  <si>
    <t>[Rr : [U' R' U, M']]</t>
  </si>
  <si>
    <t>[M' U L' : [E', L2]]</t>
  </si>
  <si>
    <t>[R S' R', F']</t>
  </si>
  <si>
    <t>[S' : [U M' U', R]]</t>
  </si>
  <si>
    <t>[r : [r E' r', U']]</t>
  </si>
  <si>
    <t>[E, r U' r']</t>
  </si>
  <si>
    <t>[D', L' E' L]</t>
  </si>
  <si>
    <t>[D : [L' E' L, D2]]</t>
  </si>
  <si>
    <t>[M' U R : [S, R2]]</t>
  </si>
  <si>
    <t>[R2' F' : [R2, E']]</t>
  </si>
  <si>
    <t>I made this list so I can float FR in the case that UF/UB/UR/UL are solved before the rest of edges are. That's why there's nothing including UF/UB/UR/UL here.</t>
  </si>
  <si>
    <t>[r : [U', r E2 r']]</t>
  </si>
  <si>
    <t>[R D R' : [E, R2]]</t>
  </si>
  <si>
    <t>[R U R' U' R' : [E, R2]]</t>
  </si>
  <si>
    <t>[R D' R' : [E, R2]]</t>
  </si>
  <si>
    <t>[L' U' L U L' : [E', L2]]</t>
  </si>
  <si>
    <t>[R S' R', F2]</t>
  </si>
  <si>
    <t>[u L' : [S', L2]]</t>
  </si>
  <si>
    <t>[F2, L' S L]</t>
  </si>
  <si>
    <t>[u' R' : [S', R2]]</t>
  </si>
  <si>
    <t>[r' U R : [E, R2]]</t>
  </si>
  <si>
    <t>[E, R2]</t>
  </si>
  <si>
    <t>[L2, E']</t>
  </si>
  <si>
    <t>[R D R : [E, R2]]</t>
  </si>
  <si>
    <t>[R : [R, U' M2 U]]</t>
  </si>
  <si>
    <t>[R D : [S', R2]]</t>
  </si>
  <si>
    <t>[M2 U' L' : [E', L2]]</t>
  </si>
  <si>
    <t>[R' : [R' F' R, S']]</t>
  </si>
  <si>
    <t>[l' U'E' R : [E, R2]]</t>
  </si>
  <si>
    <t>[F' R' U' R : [E', R2]]</t>
  </si>
  <si>
    <t>[l' U l, E']</t>
  </si>
  <si>
    <t>[L F' L' U L : [E', L2]]</t>
  </si>
  <si>
    <t>[M : [M, U R U']]</t>
  </si>
  <si>
    <t>[D' R' : [S', R2]]</t>
  </si>
  <si>
    <t>[F' R : [U', R E' R']]</t>
  </si>
  <si>
    <t>[R : [U M' U', R]]</t>
  </si>
  <si>
    <t>[R U R' U' R : [E, R2]]</t>
  </si>
  <si>
    <t>[R : [U' M2 U, R]]</t>
  </si>
  <si>
    <t>[R : [R, U M2 U']]</t>
  </si>
  <si>
    <t>[r U2' L : [E', L2]]</t>
  </si>
  <si>
    <t>[R' : [S, U' R U]]</t>
  </si>
  <si>
    <t>[R u R' : [R' E R, U']]</t>
  </si>
  <si>
    <t>[r', S L S']</t>
  </si>
  <si>
    <t>[E' L' E, r]</t>
  </si>
  <si>
    <t>[R : [U' M U, R]]</t>
  </si>
  <si>
    <t>[u2 L' : [S, L2]]</t>
  </si>
  <si>
    <t>[R U R' U' R' : [E', R2]]</t>
  </si>
  <si>
    <t>[D' R' D, M]</t>
  </si>
  <si>
    <t>[R D' R : [E, R2]]</t>
  </si>
  <si>
    <t>[R D : [R2, S']]</t>
  </si>
  <si>
    <t>[R : [U M2 U', R]]</t>
  </si>
  <si>
    <t>[M2 U L' : [E', L2]]</t>
  </si>
  <si>
    <t>[B, R S R']</t>
  </si>
  <si>
    <t>[l u R : [E, R2]]</t>
  </si>
  <si>
    <t>[l : [U', l E' l']]</t>
  </si>
  <si>
    <t>[E, R' D' R]</t>
  </si>
  <si>
    <t>[S D L : [E', L2]]</t>
  </si>
  <si>
    <t>[D R' : [S', R2]]</t>
  </si>
  <si>
    <t>[R D' R' : [E', R2]]</t>
  </si>
  <si>
    <t>[M' U L : [E', L2]]</t>
  </si>
  <si>
    <t>[L' U' L U L : [E', L2]]</t>
  </si>
  <si>
    <t>[M2 U' L : [E', L2]]</t>
  </si>
  <si>
    <t>[r U2' L' : [E', L2]]</t>
  </si>
  <si>
    <t>[M2 U L : [E', L2]]</t>
  </si>
  <si>
    <t>[L' B L U' L : [E', L2]]</t>
  </si>
  <si>
    <t>[L' F2 L, S]</t>
  </si>
  <si>
    <t>[R' S' R' : [E', R2]]</t>
  </si>
  <si>
    <t>[R' S' R : [E, R2]]</t>
  </si>
  <si>
    <t>[M U' L : [E', L2]]</t>
  </si>
  <si>
    <t>[R' : [S', R2]]</t>
  </si>
  <si>
    <t>[L U' L' U L : [E', L2]]</t>
  </si>
  <si>
    <t>[F', R S' R']</t>
  </si>
  <si>
    <t>[F2, R S' R']</t>
  </si>
  <si>
    <t>[R' : [S', R' F' R]]</t>
  </si>
  <si>
    <t>[R' : [U' R U, S]]</t>
  </si>
  <si>
    <t>[E, r' U r]</t>
  </si>
  <si>
    <t>[L' B L U' L' : [E', L2]]</t>
  </si>
  <si>
    <t>[R : [S, U' R' U]]</t>
  </si>
  <si>
    <t>[R' S' R, B2]</t>
  </si>
  <si>
    <t>[R' : [S', R' F2 R]]</t>
  </si>
  <si>
    <t>[L F' L' U L' : [E, L2]]</t>
  </si>
  <si>
    <t>[R' : [R' B R, S]]</t>
  </si>
  <si>
    <t>[R : [R B2 R', S']]</t>
  </si>
  <si>
    <t>[S' : [R, U M' U']]</t>
  </si>
  <si>
    <t>[u L : [S', L2]]</t>
  </si>
  <si>
    <t>[l' U'E' R' : [E, R2]]</t>
  </si>
  <si>
    <t>[l u R' : [E, R2]]</t>
  </si>
  <si>
    <t>[S, L' F2 L]</t>
  </si>
  <si>
    <t>[R : [U' R' U, S]]</t>
  </si>
  <si>
    <t>[L' S L : [E', L2]]</t>
  </si>
  <si>
    <t>[L S L : [E', L2]]</t>
  </si>
  <si>
    <t>[S L : [E', L2]]</t>
  </si>
  <si>
    <t>[S' : [R, U' M U]]</t>
  </si>
  <si>
    <t>[S R' : [S', R2]]</t>
  </si>
  <si>
    <t>[R u' R' : [U, R' E R]]</t>
  </si>
  <si>
    <t>[r : [U', r E' r']]</t>
  </si>
  <si>
    <t>[L' S L, F2]</t>
  </si>
  <si>
    <t>[F' R' U' R' : [E', R2]]</t>
  </si>
  <si>
    <t>[R u R' : [U', R' E R]]</t>
  </si>
  <si>
    <t>[l : [l E' l', U']]</t>
  </si>
  <si>
    <t>[R' S' R : [E', R2]]</t>
  </si>
  <si>
    <t>[B2, R' S' R]</t>
  </si>
  <si>
    <t>[L' S L' : [E', L2]]</t>
  </si>
  <si>
    <t>[r S L : [S', L2]]</t>
  </si>
  <si>
    <t>[l', S' R' S]</t>
  </si>
  <si>
    <t>[L' : [L' E' L, D]]</t>
  </si>
  <si>
    <t>[R E R' : [E, R2]]</t>
  </si>
  <si>
    <t>[r U' r', E]</t>
  </si>
  <si>
    <t>[E', l' U l]</t>
  </si>
  <si>
    <t>[S L S', r']</t>
  </si>
  <si>
    <t>[R' D' R, E]</t>
  </si>
  <si>
    <t>[R' S' R' : [E, R2]]</t>
  </si>
  <si>
    <t>[R' : [R' F2 R, S']]</t>
  </si>
  <si>
    <t>[L S L' : [E', L2]]</t>
  </si>
  <si>
    <t>[r S L' : [S', L2]]</t>
  </si>
  <si>
    <t>[l, S' R' S]</t>
  </si>
  <si>
    <t>[E', L D L']</t>
  </si>
  <si>
    <t>[R E' R : [E', R2]]</t>
  </si>
  <si>
    <t>[L : [S, L F2 L']]</t>
  </si>
  <si>
    <t>[L' E' L, D']</t>
  </si>
  <si>
    <t>[u' R : [S', R2]]</t>
  </si>
  <si>
    <t>[L F' L' U L' : [E', L2]]</t>
  </si>
  <si>
    <t>[r, E' L' E]</t>
  </si>
  <si>
    <t>[S D L' : [E', L2]]</t>
  </si>
  <si>
    <t>[L F' L' U L : [E, L2]]</t>
  </si>
  <si>
    <t>[S L' : [E', L2]]</t>
  </si>
  <si>
    <t>[S' R' S, l']</t>
  </si>
  <si>
    <t>[S' R' S, l]</t>
  </si>
  <si>
    <t>[L' E' L, D]</t>
  </si>
  <si>
    <t>[S R : [S, R2]]</t>
  </si>
  <si>
    <t>[L u' L' : [L' E L, U]]</t>
  </si>
  <si>
    <t>[D' : [L' E' L, D2]]</t>
  </si>
  <si>
    <t>[r' U R' : [E, R2]]</t>
  </si>
  <si>
    <t>[M', D R' D']</t>
  </si>
  <si>
    <t>[R : [R, U' M U]]</t>
  </si>
  <si>
    <t>[M U' L' : [E', L2]]</t>
  </si>
  <si>
    <t>[R' : [S, R' B R]]</t>
  </si>
  <si>
    <t>[S' : [U' M U, R]]</t>
  </si>
  <si>
    <t>[L' : [D, L' E' L]]</t>
  </si>
  <si>
    <t>[L D L', E']</t>
  </si>
  <si>
    <t>[D, L' E' L]</t>
  </si>
  <si>
    <t>[l U' R' : [S, R2]]</t>
  </si>
  <si>
    <t>[r' U R : [E', R2]]</t>
  </si>
  <si>
    <t>[M' U R' : [S, R2]]</t>
  </si>
  <si>
    <t>[R2, E]</t>
  </si>
  <si>
    <t>[D' R : [S', R2]]</t>
  </si>
  <si>
    <t>[u2 L : [S, L2]]</t>
  </si>
  <si>
    <t>[D R : [S', R2]]</t>
  </si>
  <si>
    <t>[R : [S', R2]]</t>
  </si>
  <si>
    <t>[S R : [S', R2]]</t>
  </si>
  <si>
    <t>[R E R : [E, R2]]</t>
  </si>
  <si>
    <t>[R E' R' : [E', R2]]</t>
  </si>
  <si>
    <t>[S R' : [S, R2]]</t>
  </si>
  <si>
    <t>[l U' R : [S, R2]]</t>
  </si>
  <si>
    <t>[E', R2]</t>
  </si>
  <si>
    <t>[R2' F' : [E', R2]]</t>
  </si>
  <si>
    <t>[E', L2]</t>
  </si>
  <si>
    <t>[F' R : [R E' R', U']]</t>
  </si>
  <si>
    <t>[R U R' U' R : [E', R2]]</t>
  </si>
  <si>
    <t>[R D' R : [E', R2]]</t>
  </si>
  <si>
    <t>[L U' L' U L' : [E', L2]]</t>
  </si>
  <si>
    <t>[R : [S', R B2 R']]</t>
  </si>
  <si>
    <t>[R u' R' : [R' E R, U]]</t>
  </si>
  <si>
    <t>[L : [L F2 L', S]]</t>
  </si>
  <si>
    <t>[L u' L' : [U, L' E L]]</t>
  </si>
  <si>
    <t>[r' U R' : [E', R2]]</t>
  </si>
  <si>
    <t>[R2, E']</t>
  </si>
  <si>
    <t>PROGRESS (168 TOTAL)</t>
  </si>
  <si>
    <t>[M' U' R : [E, R2]]</t>
  </si>
  <si>
    <t>[M, D L D']</t>
  </si>
  <si>
    <t>[L' : [L', U' M' U]]</t>
  </si>
  <si>
    <t>[l' : [l' E l, U]]</t>
  </si>
  <si>
    <t>[D, R E R']</t>
  </si>
  <si>
    <t>[L' S L, F]</t>
  </si>
  <si>
    <t>[S : [U' M' U, L']]</t>
  </si>
  <si>
    <t>[D : [R E R', D2]]</t>
  </si>
  <si>
    <t>[r U' R : [E, R2]]</t>
  </si>
  <si>
    <t>[r U' L' : [S', L2]]</t>
  </si>
  <si>
    <t>I made this list so I can float FL in the case that UF/UB/UR/UL/FR are solved before the rest of edges are. That's why there's nothing including UF/UB/UR/UL/FR here.</t>
  </si>
  <si>
    <t>[M2 U R : [E, R2]]</t>
  </si>
  <si>
    <t>[L' D : [L2, S]]</t>
  </si>
  <si>
    <t>[L' : [L', U M2 U']]</t>
  </si>
  <si>
    <t>[F R U' R' : [E, R2]]</t>
  </si>
  <si>
    <t>[R' F R U' R' : [E, R2]]</t>
  </si>
  <si>
    <t>[L : [L F L', S]]</t>
  </si>
  <si>
    <t>[r UE L' : [E', L2]]</t>
  </si>
  <si>
    <t>[M : [M, U' L' U]]</t>
  </si>
  <si>
    <t>[R' D R' : [E, R2]]</t>
  </si>
  <si>
    <t>[D L : [S, L2]]</t>
  </si>
  <si>
    <t>[M' U' R' : [E, R2]]</t>
  </si>
  <si>
    <t>[M2 U R' : [E, R2]]</t>
  </si>
  <si>
    <t>[M2 U' R' : [E, R2]]</t>
  </si>
  <si>
    <t>[l' U2 R : [E, R2]]</t>
  </si>
  <si>
    <t>[L S L : [E, L2]]</t>
  </si>
  <si>
    <t>[R B' R' U R' : [E, R2]]</t>
  </si>
  <si>
    <t>[R F2 R', S']</t>
  </si>
  <si>
    <t>[M U R' : [E, R2]]</t>
  </si>
  <si>
    <t>[R' U R U' R' : [E, R2]]</t>
  </si>
  <si>
    <t>[L : [S, L2]]</t>
  </si>
  <si>
    <t>[D L D', M]</t>
  </si>
  <si>
    <t>[L' D : [S, L2]]</t>
  </si>
  <si>
    <t>[M2 U' R : [E, R2]]</t>
  </si>
  <si>
    <t>[L' : [L', U' M2 U]]</t>
  </si>
  <si>
    <t>[r' : [U, r' E r]]</t>
  </si>
  <si>
    <t>[M u R' : [E, R2]]</t>
  </si>
  <si>
    <t>[B', L' S' L]</t>
  </si>
  <si>
    <t>[r' u' L' : [E', L2]]</t>
  </si>
  <si>
    <t>[R' D' R' : [E, R2]]</t>
  </si>
  <si>
    <t>[D' L : [S, L2]]</t>
  </si>
  <si>
    <t>[L' : [U' M' U, L']]</t>
  </si>
  <si>
    <t>[L' : [U M2 U', L']]</t>
  </si>
  <si>
    <t>[l' U2 R' : [E, R2]]</t>
  </si>
  <si>
    <t>[L' : [U' M2 U, L']]</t>
  </si>
  <si>
    <t>[L' u' L : [L E' L', U]]</t>
  </si>
  <si>
    <t>[E R E', l']</t>
  </si>
  <si>
    <t>[L : [S', U L' U']]</t>
  </si>
  <si>
    <t>[L' : [U M U', L']]</t>
  </si>
  <si>
    <t>[L' U' L U L : [E, L2]]</t>
  </si>
  <si>
    <t>[u2 R : [S', R2]]</t>
  </si>
  <si>
    <t>[l' : [U, l' E l]]</t>
  </si>
  <si>
    <t>[F R U' R : [E, R2]]</t>
  </si>
  <si>
    <t>[L S L' : [E, L2]]</t>
  </si>
  <si>
    <t>[r' : [r' E r, U]]</t>
  </si>
  <si>
    <t>[L' u' L : [U, L E' L']]</t>
  </si>
  <si>
    <t>[r, S L S']</t>
  </si>
  <si>
    <t>[B2, L S L']</t>
  </si>
  <si>
    <t>[R : [R E R', D']]</t>
  </si>
  <si>
    <t>[L' E' L : [E', L2]]</t>
  </si>
  <si>
    <t>[R E R', D]</t>
  </si>
  <si>
    <t>[R' F R U' R : [E, R2]]</t>
  </si>
  <si>
    <t>[M u R : [E, R2]]</t>
  </si>
  <si>
    <t>[l', E R E']</t>
  </si>
  <si>
    <t>[S L S', r]</t>
  </si>
  <si>
    <t>[R' F R U' R' : [E', R2]]</t>
  </si>
  <si>
    <t>[S' R : [E, R2]]</t>
  </si>
  <si>
    <t>[R E R', D']</t>
  </si>
  <si>
    <t>[R' u R : [R E' R', U']]</t>
  </si>
  <si>
    <t>[S' L' : [S', L2]]</t>
  </si>
  <si>
    <t>[F, L' S L]</t>
  </si>
  <si>
    <t>[L : [S, L F L']]</t>
  </si>
  <si>
    <t>[R B' R' U R : [E, R2]]</t>
  </si>
  <si>
    <t>[L' S' L, B']</t>
  </si>
  <si>
    <t>[L : [U L' U', S']]</t>
  </si>
  <si>
    <t>[L S L', B2]</t>
  </si>
  <si>
    <t>[R' F R U' R : [E', R2]]</t>
  </si>
  <si>
    <t>[L' : [S', U L U']]</t>
  </si>
  <si>
    <t>[L : [L B' L', S']]</t>
  </si>
  <si>
    <t>[L' : [L' B2 L, S]]</t>
  </si>
  <si>
    <t>[S : [L', U' M' U]]</t>
  </si>
  <si>
    <t>[r UE L : [E', L2]]</t>
  </si>
  <si>
    <t>[S', R F2 R']</t>
  </si>
  <si>
    <t>[r' u' L : [E', L2]]</t>
  </si>
  <si>
    <t>[S' R' : [E, R2]]</t>
  </si>
  <si>
    <t>[L' : [U L U', S']]</t>
  </si>
  <si>
    <t>[S : [L', U M U']]</t>
  </si>
  <si>
    <t>[L' u L : [U', L E' L']]</t>
  </si>
  <si>
    <t>[S' L : [S, L2]]</t>
  </si>
  <si>
    <t>[D' : [R E R', D2]]</t>
  </si>
  <si>
    <t>[M : [U' L' U, M]]</t>
  </si>
  <si>
    <t>[M U R : [E, R2]]</t>
  </si>
  <si>
    <t>[L' : [L', U M U']]</t>
  </si>
  <si>
    <t>[R : [D', R E R']]</t>
  </si>
  <si>
    <t>[D', R E R']</t>
  </si>
  <si>
    <t>[L : [S', L B' L']]</t>
  </si>
  <si>
    <t>[S : [U M U', L']]</t>
  </si>
  <si>
    <t>[l U' L' : [E, L2]]</t>
  </si>
  <si>
    <t>[M U L' : [S', L2]]</t>
  </si>
  <si>
    <t>[r U' R' : [E, R2]]</t>
  </si>
  <si>
    <t>[R' D R : [E, R2]]</t>
  </si>
  <si>
    <t>[R' U R U' R : [E, R2]]</t>
  </si>
  <si>
    <t>[R' D' R : [E, R2]]</t>
  </si>
  <si>
    <t>[L' U' L U L' : [E, L2]]</t>
  </si>
  <si>
    <t>[R' u R : [U', R E' R']]</t>
  </si>
  <si>
    <t>[L' : [S, L' B2 L]]</t>
  </si>
  <si>
    <t>[L' u L : [L E' L', U']]</t>
  </si>
  <si>
    <t>[l U' L : [E, L2]]</t>
  </si>
  <si>
    <t>[L2, E]</t>
  </si>
  <si>
    <t>[r U' L : [S', L2]]</t>
  </si>
  <si>
    <t>[D L' : [S, L2]]</t>
  </si>
  <si>
    <t>[L' : [S, L2]]</t>
  </si>
  <si>
    <t>[D' L' : [S, L2]]</t>
  </si>
  <si>
    <t>[u2 R' : [S', R2]]</t>
  </si>
  <si>
    <t>[L' E' L' : [E', L2]]</t>
  </si>
  <si>
    <t>[S' L : [S', L2]]</t>
  </si>
  <si>
    <t>[S' L' : [S, L2]]</t>
  </si>
  <si>
    <t>[M U L : [S', L2]]</t>
  </si>
  <si>
    <t>[E, L2]</t>
  </si>
  <si>
    <t>PROGRESS (120 TOTAL)</t>
  </si>
  <si>
    <t>[D' : [S, L' F L]]</t>
  </si>
  <si>
    <t>[R' F' R : [S', R2]]</t>
  </si>
  <si>
    <t>[R' f' R' : [S, R2]]</t>
  </si>
  <si>
    <t>[S' D R : [E', R2]]</t>
  </si>
  <si>
    <t>[R F' R', S']</t>
  </si>
  <si>
    <t>[D' R' F' R : [S', R2]]</t>
  </si>
  <si>
    <t>[R' : [R', U M' U']]</t>
  </si>
  <si>
    <t>[M' U' R' : [E', R2]]</t>
  </si>
  <si>
    <t>I made this list so I can float FD in the case that UF/UB/UR/UL/FR/FL are solved before the rest of edges are. That's why there's nothing including UF/UB/UR/UL/FR/FL here.</t>
  </si>
  <si>
    <t>[D' : [L' F L, S]]</t>
  </si>
  <si>
    <t>[D : [R F' R', S']]</t>
  </si>
  <si>
    <t>[M : [M, U R' U']]</t>
  </si>
  <si>
    <t>[D' : [S', R' F' R]]</t>
  </si>
  <si>
    <t>[M : [M, U' L U]]</t>
  </si>
  <si>
    <t>[D : [S, L' F L]]</t>
  </si>
  <si>
    <t>[M' : [U' R' U, M']]</t>
  </si>
  <si>
    <t>[M' : [U L U', M']]</t>
  </si>
  <si>
    <t>[R' F' R' : [S', R2]]</t>
  </si>
  <si>
    <t>[D : [S', R F' R']]</t>
  </si>
  <si>
    <t>[S D' L' : [E, L2]]</t>
  </si>
  <si>
    <t>[L' F L, S]</t>
  </si>
  <si>
    <t>[r u L : [E, L2]]</t>
  </si>
  <si>
    <t>[D R' F' R' : [S', R2]]</t>
  </si>
  <si>
    <t>[M' U L : [E, L2]]</t>
  </si>
  <si>
    <t>[L : [L, U' M' U]]</t>
  </si>
  <si>
    <t>[R' f' R : [S, R2]]</t>
  </si>
  <si>
    <t>[S D' L : [E, L2]]</t>
  </si>
  <si>
    <t>[F' E F, R']</t>
  </si>
  <si>
    <t>[M2 U' L' : [E, L2]]</t>
  </si>
  <si>
    <t>[R' D' : [S', R2]]</t>
  </si>
  <si>
    <t>[R D R', E']</t>
  </si>
  <si>
    <t>[D' : [R' F' R, S']]</t>
  </si>
  <si>
    <t>[S, L' F L]</t>
  </si>
  <si>
    <t>[R', F' E F]</t>
  </si>
  <si>
    <t>[M2 U R' : [E', R2]]</t>
  </si>
  <si>
    <t>[M'R' F R : [S', R2]]</t>
  </si>
  <si>
    <t>[M2 U' : [S, R2]]</t>
  </si>
  <si>
    <t>[S' : [U M' U', R']]</t>
  </si>
  <si>
    <t>[D, R' E' R]</t>
  </si>
  <si>
    <t>[S' D R' : [E', R2]]</t>
  </si>
  <si>
    <t>[M', D' L' D]</t>
  </si>
  <si>
    <t>[r u L' : [E, L2]]</t>
  </si>
  <si>
    <t>[M2 U R : [E', R2]]</t>
  </si>
  <si>
    <t>[F E' F', L]</t>
  </si>
  <si>
    <t>[L D : [S, L2]]</t>
  </si>
  <si>
    <t>[L' D' L, E]</t>
  </si>
  <si>
    <t>[S', R F' R']</t>
  </si>
  <si>
    <t>[D : [L' F L, S]]</t>
  </si>
  <si>
    <t>[M2 U' L : [E, L2]]</t>
  </si>
  <si>
    <t>[M'R' F R' : [S', R2]]</t>
  </si>
  <si>
    <t>[L, F E' F']</t>
  </si>
  <si>
    <t>[M2 U : [S', L2]]</t>
  </si>
  <si>
    <t>[D, L E L']</t>
  </si>
  <si>
    <t>[S : [U' M' U, L]]</t>
  </si>
  <si>
    <t>[D' R' F' R' : [S', R2]]</t>
  </si>
  <si>
    <t>[D R' F' R : [S', R2]]</t>
  </si>
  <si>
    <t>[R' D' : [R2, S']]</t>
  </si>
  <si>
    <t>[M2 U' : [R2, S]]</t>
  </si>
  <si>
    <t>[L D : [L2, S]]</t>
  </si>
  <si>
    <t>[M2 U : [L2, S']]</t>
  </si>
  <si>
    <t>[D' : [L E L', D2]]</t>
  </si>
  <si>
    <t>[D : [R' E' R, D2]]</t>
  </si>
  <si>
    <t>[R' : [U M' U', R']]</t>
  </si>
  <si>
    <t>[M' : [M', U' R' U]]</t>
  </si>
  <si>
    <t>[M' U L' : [E, L2]]</t>
  </si>
  <si>
    <t>[S' : [R', U M' U']]</t>
  </si>
  <si>
    <t>[E, L' D' L]</t>
  </si>
  <si>
    <t>[L E L', D]</t>
  </si>
  <si>
    <t>[D : [L E L', D2]]</t>
  </si>
  <si>
    <t>[F' : [E', R2]]</t>
  </si>
  <si>
    <t>[M' U' R : [E', R2]]</t>
  </si>
  <si>
    <t>[M' : [M', U L U']]</t>
  </si>
  <si>
    <t>[L : [U' M' U, L]]</t>
  </si>
  <si>
    <t>[E', R D R']</t>
  </si>
  <si>
    <t>[R' E' R, D]</t>
  </si>
  <si>
    <t>[S : [L, U' M' U]]</t>
  </si>
  <si>
    <t>[D' : [R' E' R, D2]]</t>
  </si>
  <si>
    <t>[F' : [R2, E']]</t>
  </si>
  <si>
    <t>PROGRESS (80 TOTAL)</t>
  </si>
  <si>
    <t>[r' U' L' : [E, L2]]</t>
  </si>
  <si>
    <t>[l UE R' : [E', R2]]</t>
  </si>
  <si>
    <t>[S' D' R : [E', R2]]</t>
  </si>
  <si>
    <t>[R' B R, S']</t>
  </si>
  <si>
    <t>[R' : [R', U' M U]]</t>
  </si>
  <si>
    <t>[M U R' : [E', R2]]</t>
  </si>
  <si>
    <t>I made this list so I can float BD in the case that UF/UB/UR/UL/FR/FL/FD are solved before the rest of edges are. That's why there's nothing including UF/UB/UR/UL/FR/FL/FD here.</t>
  </si>
  <si>
    <t>[r' U' L : [E, L2]]</t>
  </si>
  <si>
    <t>[S D L' : [E, L2]]</t>
  </si>
  <si>
    <t>[L B' L', S]</t>
  </si>
  <si>
    <t>[r U'E' L : [E, L2]]</t>
  </si>
  <si>
    <t>[M U' L : [E, L2]]</t>
  </si>
  <si>
    <t>[L : [L, U M U']]</t>
  </si>
  <si>
    <t>[l UE R : [E', R2]]</t>
  </si>
  <si>
    <t>[S D L : [E, L2]]</t>
  </si>
  <si>
    <t>[R' : [U M2 U', R']]</t>
  </si>
  <si>
    <t>[R' D' R : [E', R2]]</t>
  </si>
  <si>
    <t>[M2 U L' : [E, L2]]</t>
  </si>
  <si>
    <t>[E, l U' l']</t>
  </si>
  <si>
    <t>[S, L B' L']</t>
  </si>
  <si>
    <t>[R' : [R', U M2 U']]</t>
  </si>
  <si>
    <t>[M2 U' R' : [E', R2]]</t>
  </si>
  <si>
    <t>[M2 U' : [S', R2]]</t>
  </si>
  <si>
    <t>[S' : [U' M U, R']]</t>
  </si>
  <si>
    <t>[D', R' E' R]</t>
  </si>
  <si>
    <t>[S' D' R' : [E', R2]]</t>
  </si>
  <si>
    <t>[r U'E' L' : [E, L2]]</t>
  </si>
  <si>
    <t>[R' D' R' : [E', R2]]</t>
  </si>
  <si>
    <t>[M2 U' R : [E', R2]]</t>
  </si>
  <si>
    <t>[L : [U' M2 U, L]]</t>
  </si>
  <si>
    <t>[E', r' U r]</t>
  </si>
  <si>
    <t>[S', R' B R]</t>
  </si>
  <si>
    <t>[M2 U L : [E, L2]]</t>
  </si>
  <si>
    <t>[M2 U' : [R2, S']]</t>
  </si>
  <si>
    <t>[L : [L, U' M2 U]]</t>
  </si>
  <si>
    <t>[S : [U M U', L]]</t>
  </si>
  <si>
    <t>[R' : [U' M U, R']]</t>
  </si>
  <si>
    <t>[M U' L' : [E, L2]]</t>
  </si>
  <si>
    <t>[S' : [R', U' M U]]</t>
  </si>
  <si>
    <t>[r' U r, E']</t>
  </si>
  <si>
    <t>[r' : [U, r' E2 r]]</t>
  </si>
  <si>
    <t>[M U R : [E', R2]]</t>
  </si>
  <si>
    <t>[L : [U M U', L]]</t>
  </si>
  <si>
    <t>[l U' l', E]</t>
  </si>
  <si>
    <t>[R' E' R, D']</t>
  </si>
  <si>
    <t>[S : [L, U M U']]</t>
  </si>
  <si>
    <t>[r' : [r' E2 r, U]]</t>
  </si>
  <si>
    <t>PROGRESS (48 TOTAL)</t>
  </si>
  <si>
    <t>[E L E', r']</t>
  </si>
  <si>
    <t>[R' B2 R, S']</t>
  </si>
  <si>
    <t>[S, L B2 L']</t>
  </si>
  <si>
    <t>[S, U' L' U]</t>
  </si>
  <si>
    <t>I made this list so I can float RD in the case that UF/UB/UR/UL/FR/FL/FD/BD are solved before the rest of edges are. That's why there's nothing including UF/UB/UR/UL/FR/FL/FD/BD here.</t>
  </si>
  <si>
    <t>[r', E L E']</t>
  </si>
  <si>
    <t>[R' U R U' R : [E', R2]]</t>
  </si>
  <si>
    <t>[R' U R U' : [R2, S']]</t>
  </si>
  <si>
    <t>[S L' S', r]</t>
  </si>
  <si>
    <t>[S', R' B2 R]</t>
  </si>
  <si>
    <t>[R' U R U' R' : [E', R2]]</t>
  </si>
  <si>
    <t>[l U2 R : [E', R2]]</t>
  </si>
  <si>
    <t>[L' S L' : [E, L2]]</t>
  </si>
  <si>
    <t>[R' U R U' : [S', R2]]</t>
  </si>
  <si>
    <t>[l U2 R' : [E', R2]]</t>
  </si>
  <si>
    <t>[S L : [E, L2]]</t>
  </si>
  <si>
    <t>[S' R' : [E', R2]]</t>
  </si>
  <si>
    <t>[L B2 L', S]</t>
  </si>
  <si>
    <t>[L' S L : [E, L2]]</t>
  </si>
  <si>
    <t>[S L' : [E, L2]]</t>
  </si>
  <si>
    <t>[u' L : [S, L2]]</t>
  </si>
  <si>
    <t>[U' L' U, S]</t>
  </si>
  <si>
    <t>[r, S L' S']</t>
  </si>
  <si>
    <t>[S' R : [E', R2]]</t>
  </si>
  <si>
    <t>[u' L' : [S, L2]]</t>
  </si>
  <si>
    <t>PROGRESS (24 TOTAL)</t>
  </si>
  <si>
    <t>[L U' L' U L : [E, L2]]</t>
  </si>
  <si>
    <t>[R S' R : [E', R2]]</t>
  </si>
  <si>
    <t>I made this list so I can float LD in the case that UF/UB/UR/UL/FR/FL/FD/BD/RD are solved before the rest of edges are. That's why there's nothing including UF/UB/UR/UL/FR/FL/FD/BD/RD here.</t>
  </si>
  <si>
    <t>[L U' L' U L' : [E, L2]]</t>
  </si>
  <si>
    <t>[S' R S, l']</t>
  </si>
  <si>
    <t>[l', S' R S]</t>
  </si>
  <si>
    <t>[u R : [S', R2]]</t>
  </si>
  <si>
    <t>[R S' R' : [E', R2]]</t>
  </si>
  <si>
    <t>[u R' : [S', R2]]</t>
  </si>
  <si>
    <t>PROGRESS (8 TOTAL)</t>
  </si>
  <si>
    <t>A (UBL)</t>
  </si>
  <si>
    <t>B (UBR)</t>
  </si>
  <si>
    <t>D (UFL)</t>
  </si>
  <si>
    <t>E (FUL)</t>
  </si>
  <si>
    <t>G (FDR)</t>
  </si>
  <si>
    <t>H (FDL)</t>
  </si>
  <si>
    <t>I (DFL)</t>
  </si>
  <si>
    <t>J (DFR)</t>
  </si>
  <si>
    <t>K (DBR)</t>
  </si>
  <si>
    <t>L (DBL)</t>
  </si>
  <si>
    <t>M (RUB)</t>
  </si>
  <si>
    <t>N (RDB)</t>
  </si>
  <si>
    <t>O (RDF)</t>
  </si>
  <si>
    <t>Q (LDB)</t>
  </si>
  <si>
    <t>R (LUB)</t>
  </si>
  <si>
    <t>S (LUF)</t>
  </si>
  <si>
    <t>T (LDF)</t>
  </si>
  <si>
    <t>U (BDL)</t>
  </si>
  <si>
    <t>V (BDR)</t>
  </si>
  <si>
    <t>W (BUR)</t>
  </si>
  <si>
    <t>Y (BUL)</t>
  </si>
  <si>
    <t>[R' B' R : [R D R', U']]</t>
  </si>
  <si>
    <t>[R' D'U' : [U', R' D R]]</t>
  </si>
  <si>
    <t>[l' UD' : [R D R', U2]]</t>
  </si>
  <si>
    <t>[U'D : [R D R', U2]]</t>
  </si>
  <si>
    <t>[U'D' : [R D' R', U2]]</t>
  </si>
  <si>
    <t>[R F' R' U' : [R D R', U2]]</t>
  </si>
  <si>
    <t>[R2 : [U, R2' D R2 D' R2']]</t>
  </si>
  <si>
    <t>[R D' R' : [R' D R, U2]]</t>
  </si>
  <si>
    <t>[R' U'D' R : [R U' R', D]]</t>
  </si>
  <si>
    <t>[R' U'D' R' : [U', R' D R]]</t>
  </si>
  <si>
    <t>[U' : [R D R', U2]]</t>
  </si>
  <si>
    <t>[R' D' R, U2]</t>
  </si>
  <si>
    <t>[U' : [R D' R', U2]]</t>
  </si>
  <si>
    <t>[F : [U2, R' D' R]]</t>
  </si>
  <si>
    <t>[R' D R, U2]</t>
  </si>
  <si>
    <t>[U'D' : [R D R', U2]]</t>
  </si>
  <si>
    <t>[U'D : [R D' R', U2]]</t>
  </si>
  <si>
    <t>[R' UD : [R D R', U2]]</t>
  </si>
  <si>
    <t>[R' B' R : [U', R D R']]</t>
  </si>
  <si>
    <t>[R F' R' : [R' D R, U]]</t>
  </si>
  <si>
    <t>[R : [U2, R D R']]</t>
  </si>
  <si>
    <t>[D' : [R' D R, U]]</t>
  </si>
  <si>
    <t>[D : [R' D' R, U]]</t>
  </si>
  <si>
    <t>[R F' : [R' U' R, D]]</t>
  </si>
  <si>
    <t>[U' R' D R : [R D' R', U]]</t>
  </si>
  <si>
    <t>[U R D' R' : [U', R' D R]]</t>
  </si>
  <si>
    <t>[R' B : [D', R U R']]</t>
  </si>
  <si>
    <t>[U', R D R']</t>
  </si>
  <si>
    <t>[R' D' R, U]</t>
  </si>
  <si>
    <t>[U', R D' R']</t>
  </si>
  <si>
    <t>[R : [U, R D R']]</t>
  </si>
  <si>
    <t>[R' : [R' D' R, U']]</t>
  </si>
  <si>
    <t>[R' D R, U]</t>
  </si>
  <si>
    <t>[D' : [U', R D R']]</t>
  </si>
  <si>
    <t>[D : [U', R D' R']]</t>
  </si>
  <si>
    <t>[R' : [R' D' R, U2]]</t>
  </si>
  <si>
    <t>[R' D'U' : [R' D R, U']]</t>
  </si>
  <si>
    <t>[R F' R' : [U, R' D R]]</t>
  </si>
  <si>
    <t>[D' : [R' D R, U']]</t>
  </si>
  <si>
    <t>[D : [R' D' R, U']]</t>
  </si>
  <si>
    <t>[U' R F' : [D, R' U' R]]</t>
  </si>
  <si>
    <t>[D R D' R' : [R' D R, U']]</t>
  </si>
  <si>
    <t>[R D' R' : [R' D R, U']]</t>
  </si>
  <si>
    <t>[R' D' R : [R U' R', D]]</t>
  </si>
  <si>
    <t>[U' R' : [U2, R' D' R]]</t>
  </si>
  <si>
    <t>[U' : [R D R', U']]</t>
  </si>
  <si>
    <t>[R' D' R, U']</t>
  </si>
  <si>
    <t>[U' : [R D' R', U']]</t>
  </si>
  <si>
    <t>[U' R : [R D R', U2]]</t>
  </si>
  <si>
    <t>[R' D R, U']</t>
  </si>
  <si>
    <t>[D : [R' D R, U']]</t>
  </si>
  <si>
    <t>[D' : [R' D' R, U']]</t>
  </si>
  <si>
    <t>[R' D' : [U', R' D R]]</t>
  </si>
  <si>
    <t>[U' R' : [U', R' D' R]]</t>
  </si>
  <si>
    <t>[l' U'D' : [R D R', U2]]</t>
  </si>
  <si>
    <t>[R : [R D R', U2]]</t>
  </si>
  <si>
    <t>[R' : [R D' R' D, F2]]</t>
  </si>
  <si>
    <t>[R U : [R' D R, U2]]</t>
  </si>
  <si>
    <t>[R UD : [R' D' R, U2]]</t>
  </si>
  <si>
    <t>[D' R UD : [R' D' R, U2]]</t>
  </si>
  <si>
    <t>[D R : [R D' R', U2]]</t>
  </si>
  <si>
    <t>[R : [R D' R', U2]]</t>
  </si>
  <si>
    <t>[R' : [U', R2 D' R2 D R2]]</t>
  </si>
  <si>
    <t>[R D'U : [R' D R, U2]]</t>
  </si>
  <si>
    <t>[l' : [R' D' R, U2]]</t>
  </si>
  <si>
    <t>[R DU : [R' D R, U2]]</t>
  </si>
  <si>
    <t>[l' U' : [R D' R', U2]]</t>
  </si>
  <si>
    <t>[D R' : [R D' R' D, F2]]</t>
  </si>
  <si>
    <t>[D2 R' : [R D' R' D, F2]]</t>
  </si>
  <si>
    <t>[R U : [R' D' R, U2]]</t>
  </si>
  <si>
    <t>[R UD' : [R' D' R, U2]]</t>
  </si>
  <si>
    <t>[R U R' UD : [R D R', U2]]</t>
  </si>
  <si>
    <t>[UD : [R D R', U2]]</t>
  </si>
  <si>
    <t>[D' : [U, R' D R]]</t>
  </si>
  <si>
    <t>[D' : [U', R' D R]]</t>
  </si>
  <si>
    <t>[R' : [F2, R D' R' D]]</t>
  </si>
  <si>
    <t>[R' : [F', R D' R' D]]</t>
  </si>
  <si>
    <t>[R : [R' U R U', F2]]</t>
  </si>
  <si>
    <t>[U R D' : [U', R' D R]]</t>
  </si>
  <si>
    <t>U r2' D' R D r2 U' R'</t>
  </si>
  <si>
    <t>[U' R' U : [R D R', U2]]</t>
  </si>
  <si>
    <t>[U : [R U' R', D']]</t>
  </si>
  <si>
    <t>[U R U' : [U', R D' R']]</t>
  </si>
  <si>
    <t>[R U R' : [U', R' D' R]]</t>
  </si>
  <si>
    <t>[F : [R U R', D]]</t>
  </si>
  <si>
    <t>[U : [R U' R', D]]</t>
  </si>
  <si>
    <t>[U'D : [R' U' R, D2]]</t>
  </si>
  <si>
    <t>[D R D : [R' U' R, D2]]</t>
  </si>
  <si>
    <t>[D' R' U : [R U' R', D]]</t>
  </si>
  <si>
    <t>[l D' : [U', R' D R]]</t>
  </si>
  <si>
    <t>[UD' : [R D' R', U2]]</t>
  </si>
  <si>
    <t>[D : [U, R' D' R]]</t>
  </si>
  <si>
    <t>[D : [U', R' D' R]]</t>
  </si>
  <si>
    <t>[R U' : [R' D R, U2]]</t>
  </si>
  <si>
    <t>[R' : [R D' R' D, F']]</t>
  </si>
  <si>
    <t>[R U' R' : [R' D R, U2]]</t>
  </si>
  <si>
    <t>[D R : [R D' R', U']]</t>
  </si>
  <si>
    <t>[D R D : [U, R' D' R]]</t>
  </si>
  <si>
    <t>[F' U : [R' D' R, U2]]</t>
  </si>
  <si>
    <t>[R D : [D, R' U' R]]</t>
  </si>
  <si>
    <t>[D, R U R']</t>
  </si>
  <si>
    <t>[D : [R U R', D]]</t>
  </si>
  <si>
    <t>[R U : [U, R' D R]]</t>
  </si>
  <si>
    <t>[D R' U' : [R U R', D']]</t>
  </si>
  <si>
    <t>[D' R D' : [R' U' R, D2]]</t>
  </si>
  <si>
    <t>[D : [R U R', D2]]</t>
  </si>
  <si>
    <t>[R' F : [R U' R', D]]</t>
  </si>
  <si>
    <t>[D R' : [D, R' U R]]</t>
  </si>
  <si>
    <t>[R F' R' U : [R D R', U2]]</t>
  </si>
  <si>
    <t>[R F' : [D, R' U' R]]</t>
  </si>
  <si>
    <t>[U' R F' : [R' U' R, D]]</t>
  </si>
  <si>
    <t>[R U'D : [R' D' R, U2]]</t>
  </si>
  <si>
    <t>[R : [F2, R' U R U']]</t>
  </si>
  <si>
    <t>[U' R' F' : [R U' R', D']]</t>
  </si>
  <si>
    <t>[R U' R' : [D2, R' U R]]</t>
  </si>
  <si>
    <t>[R U' D' : [D', R' U R]]</t>
  </si>
  <si>
    <t>[U' R' : [U2, R' D R]]</t>
  </si>
  <si>
    <t>[U' R' : [U, R' D R]]</t>
  </si>
  <si>
    <t>[R D : [R' D' R, U]]</t>
  </si>
  <si>
    <t>[D' R D'U' : [R' U R, D2]]</t>
  </si>
  <si>
    <t>[R : [U, R D2 R']]</t>
  </si>
  <si>
    <t>[U' R' U : [D, R U' R']]</t>
  </si>
  <si>
    <t>[l UD' : [R D R', U2]]</t>
  </si>
  <si>
    <t>[D' R : [U', R D' R']]</t>
  </si>
  <si>
    <t>[D' R U' : [D', R' U R]]</t>
  </si>
  <si>
    <t>[U' R' : [U', R' D R]]</t>
  </si>
  <si>
    <t>[R2 : [R2' D R2 D' R2', U]]</t>
  </si>
  <si>
    <t>[U' R' D R : [U, R D' R']]</t>
  </si>
  <si>
    <t>[D R D' R' : [U', R' D R]]</t>
  </si>
  <si>
    <t>[D' R U'D : [R' D' R, U2]]</t>
  </si>
  <si>
    <t>[R U' R' : [U2, R' D R]]</t>
  </si>
  <si>
    <t>[U' R' F' : [D', R U' R']]</t>
  </si>
  <si>
    <t>[F' R U' : [R' D' R, U2]]</t>
  </si>
  <si>
    <t>[R U' R' U : [R D' R', U2]]</t>
  </si>
  <si>
    <t>[U R' : [R D' R' D, F2]]</t>
  </si>
  <si>
    <t>[R U'D' R' : [U2, R' D R]]</t>
  </si>
  <si>
    <t>[D2 R : [U', R D' R']]</t>
  </si>
  <si>
    <t>[D' R : [U, R D2 R']]</t>
  </si>
  <si>
    <t>[R' F2 : [D', R U' R']]</t>
  </si>
  <si>
    <t>[UD R D' : [R' D R, U']]</t>
  </si>
  <si>
    <t>[U'D' R' : [U, R' D R]]</t>
  </si>
  <si>
    <t>[D' R D : [R' D' R, U]]</t>
  </si>
  <si>
    <t>[U R' U' : [D', R U R']]</t>
  </si>
  <si>
    <t>[U'D' R' : [U', R' D R]]</t>
  </si>
  <si>
    <t>[R D' R' : [U2, R' D R]]</t>
  </si>
  <si>
    <t>[U R D' R' : [R' D R, U']]</t>
  </si>
  <si>
    <t>[R D' R' : [U', R' D R]]</t>
  </si>
  <si>
    <t>[D R : [U2, R D' R']]</t>
  </si>
  <si>
    <t>[U R D' : [R' D R, U']]</t>
  </si>
  <si>
    <t>[D R : [U', R D' R']]</t>
  </si>
  <si>
    <t>[R U' R' : [R' U R, D2]]</t>
  </si>
  <si>
    <t>[F' R U : [R' D' R, U2]]</t>
  </si>
  <si>
    <t>[R U' R' : [R' U R, D']]</t>
  </si>
  <si>
    <t>[R' : [U, R2 D' R2' D R2]]</t>
  </si>
  <si>
    <t>[D' L' U : [U' L U L', F2]]</t>
  </si>
  <si>
    <t>[R D' R' : [U, R' D R]]</t>
  </si>
  <si>
    <t>[D R : [U, R D' R']]</t>
  </si>
  <si>
    <t>[R U' R' : [R' U R, D]]</t>
  </si>
  <si>
    <t>[U R : [R U' R', D]]</t>
  </si>
  <si>
    <t>[U R : [R U' R', D2]]</t>
  </si>
  <si>
    <t>[D R U' : [D', R' U R]]</t>
  </si>
  <si>
    <t>[R : [U' L' U, R2]]</t>
  </si>
  <si>
    <t>[R' U'D' R : [D, R U' R']]</t>
  </si>
  <si>
    <t>[R' B : [R U R', D']]</t>
  </si>
  <si>
    <t>[R' D' R : [D, R U' R']]</t>
  </si>
  <si>
    <t>[R : [U2, R D' R']]</t>
  </si>
  <si>
    <t>R U r2' D' R' D r2 U'</t>
  </si>
  <si>
    <t>[D R D : [R' D' R, U]]</t>
  </si>
  <si>
    <t>[R U' D' : [R' U R, D']]</t>
  </si>
  <si>
    <t>[R U' R' U' : [R D' R', U2]]</t>
  </si>
  <si>
    <t>[R U' R' : [D', R' U R]]</t>
  </si>
  <si>
    <t>[U'D R' : [U2, R' D R]]</t>
  </si>
  <si>
    <t>U r2 U' R' U r2' D' R DU'</t>
  </si>
  <si>
    <t>[R : [U', R D' R']]</t>
  </si>
  <si>
    <t>[R : [U, R D' R']]</t>
  </si>
  <si>
    <t>[F R : [R D' R', U']]</t>
  </si>
  <si>
    <t>[D R : [F2, R' U R U']]</t>
  </si>
  <si>
    <t>[R U'D' : [R' U R, D2]]</t>
  </si>
  <si>
    <t>[R U' : [D', R' U R]]</t>
  </si>
  <si>
    <t>[U'D R' : [U', R' D R]]</t>
  </si>
  <si>
    <t>[R' U'D' R' : [R' D R, U']]</t>
  </si>
  <si>
    <t>[U' R' : [R' D' R, U2]]</t>
  </si>
  <si>
    <t>[R' : [R2 D' R2 D R2, U']]</t>
  </si>
  <si>
    <t>[U' R' U' : [R D R', U2]]</t>
  </si>
  <si>
    <t>[F' U' : [R' D' R, U2]]</t>
  </si>
  <si>
    <t>[U' R' : [R' D R, U2]]</t>
  </si>
  <si>
    <t>[U R' : [F2, R D' R' D]]</t>
  </si>
  <si>
    <t>[R' : [R2 D' R2' D R2, U]]</t>
  </si>
  <si>
    <t>[U'D R' : [R' D R, U2]]</t>
  </si>
  <si>
    <t>[U R U' : [R' D' R, U2]]</t>
  </si>
  <si>
    <t>[R' : [D', R2 U R2' U' R2]]</t>
  </si>
  <si>
    <t>[U R : [U2, R D' R']]</t>
  </si>
  <si>
    <t>[R : [U, R2' D R2 D' R2]]</t>
  </si>
  <si>
    <t>[R U'D' R' : [R' U R, D]]</t>
  </si>
  <si>
    <t>[U R U' : [R' D R, U2]]</t>
  </si>
  <si>
    <t>[U' R' U' : [R D' R', U2]]</t>
  </si>
  <si>
    <t>[UD R : [U2, R D' R']]</t>
  </si>
  <si>
    <t>[U R : [U2, R D R']]</t>
  </si>
  <si>
    <t>[U : [R D R', U2]]</t>
  </si>
  <si>
    <t>[R D R', U']</t>
  </si>
  <si>
    <t>[U' : [U', R D R']]</t>
  </si>
  <si>
    <t>[R D'U' : [R' D R, U2]]</t>
  </si>
  <si>
    <t>[U : [D', R U' R']]</t>
  </si>
  <si>
    <t>[R D : [R' U' R, D]]</t>
  </si>
  <si>
    <t>[U' R' : [R' D R, U]]</t>
  </si>
  <si>
    <t>[R U'D' R' : [R' D R, U2]]</t>
  </si>
  <si>
    <t>UD' R' D r2 U' R U r2' U'</t>
  </si>
  <si>
    <t>[U R U : [R' D' R, U2]]</t>
  </si>
  <si>
    <t>[R D' : [R' D R, U]]</t>
  </si>
  <si>
    <t>[R D : [R' U' R, D2]]</t>
  </si>
  <si>
    <t>[R D : [U, R D R']]</t>
  </si>
  <si>
    <t>[R' U : [R' D' R, U2]]</t>
  </si>
  <si>
    <t>[UD' : [R U' R', D2]]</t>
  </si>
  <si>
    <t>[U' : [R' U' R, D']]</t>
  </si>
  <si>
    <t>[U' R U : [R' U' R, D]]</t>
  </si>
  <si>
    <t>[R' U : [R' D' R, U]]</t>
  </si>
  <si>
    <t>[U2, R' D' R]</t>
  </si>
  <si>
    <t>[U, R' D' R]</t>
  </si>
  <si>
    <t>[U', R' D' R]</t>
  </si>
  <si>
    <t>[l' : [U2, R' D' R]]</t>
  </si>
  <si>
    <t>[R U R', D]</t>
  </si>
  <si>
    <t>[R D : [U, R' D' R]]</t>
  </si>
  <si>
    <t>[D R U'D : [R' U R, D2]]</t>
  </si>
  <si>
    <t>[R : [R D' R', U']]</t>
  </si>
  <si>
    <t>[R' : [R2 U R2' U' R2, D']]</t>
  </si>
  <si>
    <t>[R D' : [U, R' D R]]</t>
  </si>
  <si>
    <t>[R U R', D2]</t>
  </si>
  <si>
    <t>[D' R U : [U, R' D R]]</t>
  </si>
  <si>
    <t>[R' U' : [R U R', D']]</t>
  </si>
  <si>
    <t>[U' R' D' : [R U R', D2]]</t>
  </si>
  <si>
    <t>[R B2 R', F']</t>
  </si>
  <si>
    <t>[R U R', D']</t>
  </si>
  <si>
    <t>[R' U : [R U' R', D']]</t>
  </si>
  <si>
    <t>[R' : [D, R' U R]]</t>
  </si>
  <si>
    <t>[U : [R D' R', U2]]</t>
  </si>
  <si>
    <t>[R D' R', U']</t>
  </si>
  <si>
    <t>[U' : [U', R D' R']]</t>
  </si>
  <si>
    <t>[R DU' : [R' D R, U2]]</t>
  </si>
  <si>
    <t>[U R U' : [R D' R', U']]</t>
  </si>
  <si>
    <t>[D, L' U L]</t>
  </si>
  <si>
    <t>[D' R DU' : [R' U R, D2]]</t>
  </si>
  <si>
    <t>[D2 R : [R D' R', U']]</t>
  </si>
  <si>
    <t>[R D' R' : [R' D R, U]]</t>
  </si>
  <si>
    <t>[U R : [R D' R', U2]]</t>
  </si>
  <si>
    <t>[R D' : [R' U' R, D2]]</t>
  </si>
  <si>
    <t>[D2, R U R']</t>
  </si>
  <si>
    <t>[R D' : [U, R D R']]</t>
  </si>
  <si>
    <t>[U' R U' : [R' U R, D']]</t>
  </si>
  <si>
    <t>[D R' : [R D' R' D, F']]</t>
  </si>
  <si>
    <t>[D' : [D', R U R']]</t>
  </si>
  <si>
    <t>[U' L U, R]</t>
  </si>
  <si>
    <t>[U2 R : [R D' R', U]]</t>
  </si>
  <si>
    <t>[R : [R D R', U]]</t>
  </si>
  <si>
    <t>[U' R : [U2, R D R']]</t>
  </si>
  <si>
    <t>[l' U : [R D' R', U2]]</t>
  </si>
  <si>
    <t>[R U R' : [R' D' R, U']]</t>
  </si>
  <si>
    <t>[R U : [R' D R, U]]</t>
  </si>
  <si>
    <t>[R : [R D2 R', U]]</t>
  </si>
  <si>
    <t>[D' R : [R D2 R', U]]</t>
  </si>
  <si>
    <t>[D R : [R D' R', U]]</t>
  </si>
  <si>
    <t>[R : [R D' R', U]]</t>
  </si>
  <si>
    <t>[R : [R2' D R2 D' R2, U]]</t>
  </si>
  <si>
    <t>[R D : [R D R', U]]</t>
  </si>
  <si>
    <t>[D' R U : [R' D R, U]]</t>
  </si>
  <si>
    <t>[R D' : [R D R', U]]</t>
  </si>
  <si>
    <t>[L, U' R' U]</t>
  </si>
  <si>
    <t>[U R' : [U', R' D R]]</t>
  </si>
  <si>
    <t>[UD R' : [U', R' D R]]</t>
  </si>
  <si>
    <t>[R U : [R' D' R, U]]</t>
  </si>
  <si>
    <t>R' F' r U R U' r' F</t>
  </si>
  <si>
    <t>[F : [R' D' R, U2]]</t>
  </si>
  <si>
    <t>[R' : [U', R' D' R]]</t>
  </si>
  <si>
    <t>[F : [D, R U R']]</t>
  </si>
  <si>
    <t>[D R' U' : [D', R U R']]</t>
  </si>
  <si>
    <t>[U' R' U : [R U' R', D]]</t>
  </si>
  <si>
    <t>[R' F2 : [R U' R', D']]</t>
  </si>
  <si>
    <t>[R U' R' : [D, R' U R]]</t>
  </si>
  <si>
    <t>[F R : [U', R D' R']]</t>
  </si>
  <si>
    <t>[R U'D' R' : [D, R' U R]]</t>
  </si>
  <si>
    <t>[R' U' : [R' D' R, U2]]</t>
  </si>
  <si>
    <t>[R' U' : [D', R U R']]</t>
  </si>
  <si>
    <t>U' R' U r2 D' R D r2'</t>
  </si>
  <si>
    <t>[U' R' U, L]</t>
  </si>
  <si>
    <t>[R' U' : [D, R U R']]</t>
  </si>
  <si>
    <t>[R B2 R', F]</t>
  </si>
  <si>
    <t>[F : [D', R U R']]</t>
  </si>
  <si>
    <t>[R' F : [R U R', D]]</t>
  </si>
  <si>
    <t>[R B' R', F]</t>
  </si>
  <si>
    <t>[U2, R' D R]</t>
  </si>
  <si>
    <t>[U, R' D R]</t>
  </si>
  <si>
    <t>[U', R' D R]</t>
  </si>
  <si>
    <t>[D R' : [F2, R D' R' D]]</t>
  </si>
  <si>
    <t>[U : [D, R U' R']]</t>
  </si>
  <si>
    <t>[UD R D' : [U', R' D R]]</t>
  </si>
  <si>
    <t>[U R : [D, R U' R']]</t>
  </si>
  <si>
    <t>[D R : [R' U R U', F2]]</t>
  </si>
  <si>
    <t>[U R U : [R' D R, U2]]</t>
  </si>
  <si>
    <t>[UD : [R U' R', D2]]</t>
  </si>
  <si>
    <t>[U' R' D : [R U R', D2]]</t>
  </si>
  <si>
    <t>[D R' : [F', R D' R' D]]</t>
  </si>
  <si>
    <t>[U R' : [R' D R, U']]</t>
  </si>
  <si>
    <t>[R' U' : [R U R', D]]</t>
  </si>
  <si>
    <t>[UD : [R U' R', D]]</t>
  </si>
  <si>
    <t>[R' U' : [R U2 R', D]]</t>
  </si>
  <si>
    <t>[R' U : [R U' R', D]]</t>
  </si>
  <si>
    <t>[R B' R' : [R' D R, U]]</t>
  </si>
  <si>
    <t>[UD' : [R D R', U2]]</t>
  </si>
  <si>
    <t>[D' : [R D R', U']]</t>
  </si>
  <si>
    <t>[D : [U', R' D R]]</t>
  </si>
  <si>
    <t>[D2 R' : [F2, R D' R' D]]</t>
  </si>
  <si>
    <t>[U'D' : [R' U' R, D2]]</t>
  </si>
  <si>
    <t>[D' R D : [R' U' R, D2]]</t>
  </si>
  <si>
    <t>[l U'D' : [R D R', U2]]</t>
  </si>
  <si>
    <t>[U'D' R' : [R' D R, U]]</t>
  </si>
  <si>
    <t>[U R : [D2, R U' R']]</t>
  </si>
  <si>
    <t>[U' R' U : [R D' R', U2]]</t>
  </si>
  <si>
    <t>[U' : [D', R' U' R]]</t>
  </si>
  <si>
    <t>[U' R' D' : [D', R U R']]</t>
  </si>
  <si>
    <t>[UD R' : [R' D R, U']]</t>
  </si>
  <si>
    <t>[F, R B2 R']</t>
  </si>
  <si>
    <t>[UD : [D, R U' R']]</t>
  </si>
  <si>
    <t>[U' : [R', U' L U]]</t>
  </si>
  <si>
    <t>[D R' U : [R U' R', D]]</t>
  </si>
  <si>
    <t>[R' D : [R' U R, D2]]</t>
  </si>
  <si>
    <t>[UD : [R D' R', U2]]</t>
  </si>
  <si>
    <t>[D : [R D' R', U']]</t>
  </si>
  <si>
    <t>[D' : [U', R' D' R]]</t>
  </si>
  <si>
    <t>[R U' : [R' D' R, U2]]</t>
  </si>
  <si>
    <t>[D R D' : [R' U' R, D2]]</t>
  </si>
  <si>
    <t>[D' : [R U R', D2]]</t>
  </si>
  <si>
    <t>[D' R : [R D' R', U']]</t>
  </si>
  <si>
    <t>[D' R D : [U, R' D' R]]</t>
  </si>
  <si>
    <t>[R U'D : [R' U R, D2]]</t>
  </si>
  <si>
    <t>[UD R : [R D' R', U2]]</t>
  </si>
  <si>
    <t>[D', R U R']</t>
  </si>
  <si>
    <t>[D' : [R U R', D']]</t>
  </si>
  <si>
    <t>[R U : [U, R' D' R]]</t>
  </si>
  <si>
    <t>[F : [R U R', D']]</t>
  </si>
  <si>
    <t>[R' U' : [D, R U2 R']]</t>
  </si>
  <si>
    <t>[U' : [U' L U, R']]</t>
  </si>
  <si>
    <t>[R U' : [D, R' U R]]</t>
  </si>
  <si>
    <t>[R2 U' : [R D R', U2]]</t>
  </si>
  <si>
    <t>[R' U'D : [R D R', U2]]</t>
  </si>
  <si>
    <t>[R' D' : [R' D R, U']]</t>
  </si>
  <si>
    <t>[R U'D' : [R' D' R, U2]]</t>
  </si>
  <si>
    <t>[D' R' U : [D, R U' R']]</t>
  </si>
  <si>
    <t>[R' F : [D, R U' R']]</t>
  </si>
  <si>
    <t>[D' R U' : [R' U R, D']]</t>
  </si>
  <si>
    <t>[U R' U' : [R U R', D']]</t>
  </si>
  <si>
    <t>[D R U' : [R' U R, D']]</t>
  </si>
  <si>
    <t>[R U' : [R' U R, D']]</t>
  </si>
  <si>
    <t>[U' R U : [D, R' U' R]]</t>
  </si>
  <si>
    <t>[R' U : [D', R U' R']]</t>
  </si>
  <si>
    <t>[R, U' L U]</t>
  </si>
  <si>
    <t>F' r U R' U' r' F R</t>
  </si>
  <si>
    <t>[R' F : [D, R U R']]</t>
  </si>
  <si>
    <t>[R' U : [D, R U' R']]</t>
  </si>
  <si>
    <t>[D R' U : [D, R U' R']]</t>
  </si>
  <si>
    <t>[R U' : [R' U R, D]]</t>
  </si>
  <si>
    <t>[R, U' L' U]</t>
  </si>
  <si>
    <t>[R' : [U2, R' D' R]]</t>
  </si>
  <si>
    <t>[U' R' : [R' D' R, U']]</t>
  </si>
  <si>
    <t>[R U R' U'D : [R D R', U2]]</t>
  </si>
  <si>
    <t>[l D' : [R' D R, U']]</t>
  </si>
  <si>
    <t>[D R' : [R' U R, D]]</t>
  </si>
  <si>
    <t>[U' R' : [R' D R, U']]</t>
  </si>
  <si>
    <t>[U'D' R' : [R' D R, U']]</t>
  </si>
  <si>
    <t>[R' : [U' L' U, R2]]</t>
  </si>
  <si>
    <t>[U'D R' : [R' D R, U']]</t>
  </si>
  <si>
    <t>[U R : [R D R', U2]]</t>
  </si>
  <si>
    <t>[R' U : [U, R' D' R]]</t>
  </si>
  <si>
    <t>[R' : [R' U R, D]]</t>
  </si>
  <si>
    <t>[U2 R : [U, R D' R']]</t>
  </si>
  <si>
    <t>[F, R B' R']</t>
  </si>
  <si>
    <t>[R B' R' : [U, R' D R]]</t>
  </si>
  <si>
    <t>[R' D' : [R' U R, D2]]</t>
  </si>
  <si>
    <t>[R2 U : [R D R', U2]]</t>
  </si>
  <si>
    <t>[U' L' U, R]</t>
  </si>
  <si>
    <t>PARITY:</t>
  </si>
  <si>
    <t>R' U2' R U' R' F2 R U2 R U2 R' F2 R' U' R2 U' R'</t>
  </si>
  <si>
    <t>R U R' F' R U R' U' R' F R2 U' R' U'</t>
  </si>
  <si>
    <t>U L' U' L F L' U' L U L F' L2 U L</t>
  </si>
  <si>
    <t>L U' x U2' R2' F R F' R U2' r' U L U L'</t>
  </si>
  <si>
    <t>U R U' R U R' F' R U R' U' R' F R2 U' R2' U'</t>
  </si>
  <si>
    <t>U2D R' F R2 U' R' U' R U R' F' R U R' UD'</t>
  </si>
  <si>
    <t>U' x U2' R2' F R F' R U2' r' U L U</t>
  </si>
  <si>
    <t>UD R2' U' R2 U R2' D' R2 U R2' U' R2 U2'</t>
  </si>
  <si>
    <t>U R2 U' R U R' F' R U R' U' R' F R2 U' R U'</t>
  </si>
  <si>
    <t>U'D r2' D' r2 U r2' U' r2 U r2' D' r2</t>
  </si>
  <si>
    <t>U R' U R U' x' U L' U L U2 R U' R' U</t>
  </si>
  <si>
    <t>R UD R' F' R U R' U' R' F R2 U' R' U' R D' R'</t>
  </si>
  <si>
    <t>U2 R' F R2 U' R' U' R U R' F' R U R' U</t>
  </si>
  <si>
    <t>R UD' R' F' R U R' U' R' F R2 U' R' U' R D R'</t>
  </si>
  <si>
    <t>U R' U' R U R' F' R U R' U' R' F R2 U2'</t>
  </si>
  <si>
    <t>U2' R' U L' U' L R U2' L' U' L</t>
  </si>
  <si>
    <t>UD R U' R U R' F' R U R' U' R' F R2 U' R2' U'D'</t>
  </si>
  <si>
    <t>U' R' D' R U R' U'D R D' R D R' U R' D' R D R</t>
  </si>
  <si>
    <t>U2D' R' F R2 U' R' U' R U R' F' R U R' UD</t>
  </si>
  <si>
    <t>U R U' R' U2 L R U' R' U L' U</t>
  </si>
  <si>
    <t>L U L' U' L F L' U' L U L F' L2 U</t>
  </si>
  <si>
    <t>PROGRESS (378 TOTAL):</t>
  </si>
  <si>
    <t>[R UD : [U, R D' R']]</t>
  </si>
  <si>
    <t>[D'U' : [R' D R, U']]</t>
  </si>
  <si>
    <t>[DU' : [R' D' R, U']]</t>
  </si>
  <si>
    <t>[U : r' D R' D' r2 U R U' r']</t>
  </si>
  <si>
    <t>[R' UD : [U, R D' R']]</t>
  </si>
  <si>
    <t>[R D'U' : [R' D R, U']]</t>
  </si>
  <si>
    <t>[U' R' D' R : [R U' R', D]]</t>
  </si>
  <si>
    <t>[R U : [U, R D R']]</t>
  </si>
  <si>
    <t>[U : [U, R D R']]</t>
  </si>
  <si>
    <t>[U' : [R' D' R, U']]</t>
  </si>
  <si>
    <t>[U : [U, R D' R']]</t>
  </si>
  <si>
    <t>[U' : [R' D R, U']]</t>
  </si>
  <si>
    <t>[U'D : [R' D R, U']]</t>
  </si>
  <si>
    <t>[UD : [U, R D' R']]</t>
  </si>
  <si>
    <t>[l U' : [R' D R, U2]]</t>
  </si>
  <si>
    <t>I made this list so I can float UFL in the case that UFR is solved before the rest of edges are. That's why there's nothing including UFR here.</t>
  </si>
  <si>
    <t>[R UD : [R D' R', U]]</t>
  </si>
  <si>
    <t>[D'U' : [R' D R, U2]]</t>
  </si>
  <si>
    <t>[U'D : [R' D' R, U2]]</t>
  </si>
  <si>
    <t>[R UD R' : [D', R' U R]]</t>
  </si>
  <si>
    <t>[R' D R : [U2, R D' R']]</t>
  </si>
  <si>
    <t>[U' R D' R' : [R' D R, U2]]</t>
  </si>
  <si>
    <t>[R' B R U' : [R' D' R, U2]]</t>
  </si>
  <si>
    <t>[U2, R D R']</t>
  </si>
  <si>
    <t>[U' : [R' D' R, U2]]</t>
  </si>
  <si>
    <t>[U2, R D' R']</t>
  </si>
  <si>
    <t>[U R' U'D : [R D R', U2]]</t>
  </si>
  <si>
    <t>[U' : [R' D R, U2]]</t>
  </si>
  <si>
    <t>[U'D : [R' D R, U2]]</t>
  </si>
  <si>
    <t>[D : [U2, R D' R']]</t>
  </si>
  <si>
    <t>[l UD : [R' D' R, U2]]</t>
  </si>
  <si>
    <t>[D'U' : [U', R' D R]]</t>
  </si>
  <si>
    <t>[D'U : [R' D R, U2]]</t>
  </si>
  <si>
    <t>[R D : [U', R' D' R]]</t>
  </si>
  <si>
    <t>[R U' : [F2, U R' U' R]]</t>
  </si>
  <si>
    <t>[R D' : [U', R' D R]]</t>
  </si>
  <si>
    <t>[D' R : [D, R U' R']]</t>
  </si>
  <si>
    <t>[R U' : [U', R D R']]</t>
  </si>
  <si>
    <t>[R U' R', D']</t>
  </si>
  <si>
    <t>[R U' : [U', R D' R']]</t>
  </si>
  <si>
    <t>[UD' R' : [R' D R, U2]]</t>
  </si>
  <si>
    <t>[R U' R', D]</t>
  </si>
  <si>
    <t>[R U' R', D2]</t>
  </si>
  <si>
    <t>[D' R' D : [R U' R', D2]]</t>
  </si>
  <si>
    <t>[D' R' : [R' D R, U']]</t>
  </si>
  <si>
    <t>[R U' R' : [R' D' R, U']]</t>
  </si>
  <si>
    <t>[DU' : [U', R' D' R]]</t>
  </si>
  <si>
    <t>[UD : [R' D' R, U2]]</t>
  </si>
  <si>
    <t>[R D : [R' D' R, U']]</t>
  </si>
  <si>
    <t>[R' U'D : [R U R', D2]]</t>
  </si>
  <si>
    <t>[U'D R : [R D' R', U']]</t>
  </si>
  <si>
    <t>[U'D R D : [U, R' D' R]]</t>
  </si>
  <si>
    <t>[R2 U' : [D, R U R']]</t>
  </si>
  <si>
    <t>[R U' : [D, R U R']]</t>
  </si>
  <si>
    <t>[U' : [D, R U R']]</t>
  </si>
  <si>
    <t>[U'D : [R U R', D]]</t>
  </si>
  <si>
    <t>[U' R U' : [R' D R, U2]]</t>
  </si>
  <si>
    <t>[D R' D' : [R U' R', D2]]</t>
  </si>
  <si>
    <t>[U'D : [R U R', D2]]</t>
  </si>
  <si>
    <t>[R' D : [R' D' R, U']]</t>
  </si>
  <si>
    <t>[U'D R' U' : [R U R', D']]</t>
  </si>
  <si>
    <t>[U : r U R' U' r2' D R D' r]</t>
  </si>
  <si>
    <t>[R UD R' : [R' U R, D']]</t>
  </si>
  <si>
    <t>[R U' : [U R' U' R, F2]]</t>
  </si>
  <si>
    <t>[D : [F2, D' R D R']]</t>
  </si>
  <si>
    <t>[R' U'D' R : [U, R D' R']]</t>
  </si>
  <si>
    <t>[D' R' U' R : [U, R D' R']]</t>
  </si>
  <si>
    <t>[U2 R' : [U', R' D R]]</t>
  </si>
  <si>
    <t>[U2 R' : [U, R' D R]]</t>
  </si>
  <si>
    <t>[U' R D : [R' D' R, U]]</t>
  </si>
  <si>
    <t>[D R' U'D' : [R U R', D2]]</t>
  </si>
  <si>
    <t>[U'D' R : [U2, R D' R']]</t>
  </si>
  <si>
    <t>[R' F R : [R D' R', U2]]</t>
  </si>
  <si>
    <t>[U'D' R : [R D' R', U']]</t>
  </si>
  <si>
    <t>[U'D' R : [U, R D' R]]</t>
  </si>
  <si>
    <t>[U R U R' : [U, R' D R]]</t>
  </si>
  <si>
    <t>[R' UD : [R D' R', U]]</t>
  </si>
  <si>
    <t>[R' D R : [R D' R', U2]]</t>
  </si>
  <si>
    <t>[R' U'D' : [R U R', D2]]</t>
  </si>
  <si>
    <t>[D : [D' R D R', F2]]</t>
  </si>
  <si>
    <t>[F2, D' R D R']</t>
  </si>
  <si>
    <t>[U' R U' R' U : [R D' R', U2]]</t>
  </si>
  <si>
    <t>[D R : [R U' R', D']]</t>
  </si>
  <si>
    <t>[D' R U' : [U R' U' R, F2]]</t>
  </si>
  <si>
    <t>[R' U'D' : [R U R', D']]</t>
  </si>
  <si>
    <t>[R' U' R U' : [R' D' R, U2]]</t>
  </si>
  <si>
    <t>[D R D' : [R' D R, U']]</t>
  </si>
  <si>
    <t>[D R : [R U' R', D]]</t>
  </si>
  <si>
    <t>[U R' D : [R D' R', U]]</t>
  </si>
  <si>
    <t>[R' DU' : [R D' R', U']]</t>
  </si>
  <si>
    <t>[UD R U : [D, R' U' R]]</t>
  </si>
  <si>
    <t>[R D' R' U' : [U', R' D R]]</t>
  </si>
  <si>
    <t>[U' R D' R' : [U2, R' D R]]</t>
  </si>
  <si>
    <t>[R D' : [R' D R, U']]</t>
  </si>
  <si>
    <t>[U'D R : [U', R D' R']]</t>
  </si>
  <si>
    <t>[R' U'D' R : [R D' R', U]]</t>
  </si>
  <si>
    <t>[D' R D R', F2]</t>
  </si>
  <si>
    <t>[R' U' R : [R D' R', U]]</t>
  </si>
  <si>
    <t>[R : [R U' R', D']]</t>
  </si>
  <si>
    <t>[F D' : [R U R', D2]]</t>
  </si>
  <si>
    <t>[U' R D' R' : [U, R' D R]]</t>
  </si>
  <si>
    <t>[U'D R : [U2, R D' R']]</t>
  </si>
  <si>
    <t>[R : [R U' R', D]]</t>
  </si>
  <si>
    <t>[R2 D : [U', R' D R]]</t>
  </si>
  <si>
    <t>[R' U' R : [R D R', U]]</t>
  </si>
  <si>
    <t>[U R U : [R' U' R, D]]</t>
  </si>
  <si>
    <t>[U' R' D' R : [D, R U' R']]</t>
  </si>
  <si>
    <t>[R' B R U : [R' D' R, U2]]</t>
  </si>
  <si>
    <t>[D' R : [R U' R', D]]</t>
  </si>
  <si>
    <t>[U'D R D : [R' D' R, U]]</t>
  </si>
  <si>
    <t>[D' R' U' R : [R D' R', U]]</t>
  </si>
  <si>
    <t>[U' R U' R' U' : [R D' R', U2]]</t>
  </si>
  <si>
    <t>[R' U' R : [U, R D' R']]</t>
  </si>
  <si>
    <t>[D' R : [R U' R', D']]</t>
  </si>
  <si>
    <t>r2 U' R' U r2' D' R D</t>
  </si>
  <si>
    <t>[U' R : [U', R D' R']]</t>
  </si>
  <si>
    <t>[U' R : [U2, R D' R']]</t>
  </si>
  <si>
    <t>[U' D R : [F2, R' U R U']]</t>
  </si>
  <si>
    <t>[U' R U'D' : [R' U R, D2]]</t>
  </si>
  <si>
    <t>[U' R : [U, R D' R']]</t>
  </si>
  <si>
    <t>[UD' R U : [D, R' U' R]]</t>
  </si>
  <si>
    <t>[R U : [R D R', U]]</t>
  </si>
  <si>
    <t>[R U' : [R D R', U']]</t>
  </si>
  <si>
    <t>[R2 U' : [R U R', D]]</t>
  </si>
  <si>
    <t>[U2 R' : [R' D R, U']]</t>
  </si>
  <si>
    <t>[D R : [D', R U' R']]</t>
  </si>
  <si>
    <t>[R : [D', R U' R']]</t>
  </si>
  <si>
    <t>[D' R : [D', R U' R']]</t>
  </si>
  <si>
    <t>[U R U : [U, R' D' R]]</t>
  </si>
  <si>
    <t>[U' : [F', R B' R']]</t>
  </si>
  <si>
    <t>[U R : [U, R D' R']]</t>
  </si>
  <si>
    <t>[U R : [U, R2' D R2 D' R2]]</t>
  </si>
  <si>
    <t>[R D' : [R U' R', D2]]</t>
  </si>
  <si>
    <t>[l' U : [U, R' D R]]</t>
  </si>
  <si>
    <t>[UD R : [U, R D' R']]</t>
  </si>
  <si>
    <t>r U R' U' r' F R F'</t>
  </si>
  <si>
    <t>[U : [R D R', U]]</t>
  </si>
  <si>
    <t>[R D R', U2]</t>
  </si>
  <si>
    <t>[D', R U' R']</t>
  </si>
  <si>
    <t>[R U' : [R U R', D]]</t>
  </si>
  <si>
    <t>[U2 R' : [R' D R, U]]</t>
  </si>
  <si>
    <t>[D' R U' : [F2, U R' U' R]]</t>
  </si>
  <si>
    <t>D' R' D r2 U' R U r2'</t>
  </si>
  <si>
    <t>[U R U : [R' D' R, U]]</t>
  </si>
  <si>
    <t>[U' R D' : [R' D R, U]]</t>
  </si>
  <si>
    <t>[R D : [R' U2 R, D2]]</t>
  </si>
  <si>
    <t>[R U R' U' : [R D R', U2]]</t>
  </si>
  <si>
    <t>[D' : [R U' R', D2]]</t>
  </si>
  <si>
    <t>[D' : [R U' R', D']]</t>
  </si>
  <si>
    <t>[D2 R' : [R' D R, U']]</t>
  </si>
  <si>
    <t>[U R' U', L']</t>
  </si>
  <si>
    <t>[U' : [U', R' D' R]]</t>
  </si>
  <si>
    <t>[U : [R' D' R, U2]]</t>
  </si>
  <si>
    <t>[U' : [R U R', D]]</t>
  </si>
  <si>
    <t>[U' R D : [U, R' D' R]]</t>
  </si>
  <si>
    <t>[F D : [R U R', D2]]</t>
  </si>
  <si>
    <t>[U' R : [R D' R', U']]</t>
  </si>
  <si>
    <t>[U' : [R B' R', F']]</t>
  </si>
  <si>
    <t>[U' R D' : [U, R' D R]]</t>
  </si>
  <si>
    <t>[U' : [R U R', D2]]</t>
  </si>
  <si>
    <t>[U R' U' : [R D R', U2]]</t>
  </si>
  <si>
    <t>[R' D' : [R U' R', D2]]</t>
  </si>
  <si>
    <t>[R' D' : [R U' R', D']]</t>
  </si>
  <si>
    <t>[U' : [R U R', D']]</t>
  </si>
  <si>
    <t>[R' U' : [R D R', U']]</t>
  </si>
  <si>
    <t>[U R2 U', L']</t>
  </si>
  <si>
    <t>[U : [R D' R', U]]</t>
  </si>
  <si>
    <t>[R D' R', U2]</t>
  </si>
  <si>
    <t>[R U' : [R D' R', U']]</t>
  </si>
  <si>
    <t>[U'D : [D, R U R']]</t>
  </si>
  <si>
    <t>[D R' U'D : [R U R', D2]]</t>
  </si>
  <si>
    <t>[R' U'D' : [D', R U R']]</t>
  </si>
  <si>
    <t>[R2 U' : [R D' R', U']]</t>
  </si>
  <si>
    <t>[U R : [R D' R', U]]</t>
  </si>
  <si>
    <t>[R D' : [R' U2 R, D2]]</t>
  </si>
  <si>
    <t>[U' : [D2, R U R']]</t>
  </si>
  <si>
    <t>[U R' U' : [R D' R', U2]]</t>
  </si>
  <si>
    <t>[U'D R' : [R D' R' D, F']]</t>
  </si>
  <si>
    <t>[D', R' U2 R]</t>
  </si>
  <si>
    <t>[R' U' : [R D' R', U']]</t>
  </si>
  <si>
    <t>[U2 R U' : [D', R' U R]]</t>
  </si>
  <si>
    <t>[U R' UD : [R D R', U2]]</t>
  </si>
  <si>
    <t>[UD' R' : [U2, R' D R]]</t>
  </si>
  <si>
    <t>[U' R U : [R' D R, U2]]</t>
  </si>
  <si>
    <t>[U'D' R : [R D' R', U2]]</t>
  </si>
  <si>
    <t>[R' U' R U : [R' D' R, U2]]</t>
  </si>
  <si>
    <t>[U'D R : [R D' R', U2]]</t>
  </si>
  <si>
    <t>[U' R : [R D' R', U2]]</t>
  </si>
  <si>
    <t>[U R : [R2' D R2 D' R2, U]]</t>
  </si>
  <si>
    <t>[R U R' U : [R D R', U2]]</t>
  </si>
  <si>
    <t>[U R' U : [R D R', U2]]</t>
  </si>
  <si>
    <t>[U R' U : [R D' R', U2]]</t>
  </si>
  <si>
    <t>[U R' : [U2, R' D R]]</t>
  </si>
  <si>
    <t>[UD R' : [U2, R' D R]]</t>
  </si>
  <si>
    <t>[U' R U : [R' D' R, U2]]</t>
  </si>
  <si>
    <t>[U R' : [U2, R' D' R]]</t>
  </si>
  <si>
    <t>[U' : [U', R' D R]]</t>
  </si>
  <si>
    <t>[U : [R' D R, U2]]</t>
  </si>
  <si>
    <t>[D, R U' R']</t>
  </si>
  <si>
    <t>[D R D' : [U', R' D R]]</t>
  </si>
  <si>
    <t>[R : [D, R U' R']]</t>
  </si>
  <si>
    <t>[U' D R : [R' U R U', F2]]</t>
  </si>
  <si>
    <t>[R D : [R U' R', D2]]</t>
  </si>
  <si>
    <t>[D : [R U' R', D2]]</t>
  </si>
  <si>
    <t>[R' D : [R U' R', D2]]</t>
  </si>
  <si>
    <t>[U'D R' : [F', R D' R' D]]</t>
  </si>
  <si>
    <t>[U R' : [R' D R, U2]]</t>
  </si>
  <si>
    <t>[D : [R U' R', D]]</t>
  </si>
  <si>
    <t>[R' U : [R' D R, U2]]</t>
  </si>
  <si>
    <t>[R' : [R' D R, U']]</t>
  </si>
  <si>
    <t>[U' R' U' : [R U R', D]]</t>
  </si>
  <si>
    <t>[U'D : [U', R' D R]]</t>
  </si>
  <si>
    <t>[UD : [R' D R, U2]]</t>
  </si>
  <si>
    <t>[D2, R U' R']</t>
  </si>
  <si>
    <t>[D R' D : [R U' R', D2]]</t>
  </si>
  <si>
    <t>[R' F R : [U2, R D' R']]</t>
  </si>
  <si>
    <t>[D R : [D, R U' R']]</t>
  </si>
  <si>
    <t>[R2 D : [R' D R, U']]</t>
  </si>
  <si>
    <t>[l' U : [R' D R, U]]</t>
  </si>
  <si>
    <t>[D' : [D', R U' R']]</t>
  </si>
  <si>
    <t>[R' D' : [D', R U' R']]</t>
  </si>
  <si>
    <t>[UD R' : [R' D R, U2]]</t>
  </si>
  <si>
    <t>[D : [D, R U' R']]</t>
  </si>
  <si>
    <t>[R' UD : [R' D R, U2]]</t>
  </si>
  <si>
    <t>[D R' : [R' D R, U']]</t>
  </si>
  <si>
    <t>[R' F R : [U, R D' R']]</t>
  </si>
  <si>
    <t>[UD : [R D' R', U]]</t>
  </si>
  <si>
    <t>[D : [R D' R', U2]]</t>
  </si>
  <si>
    <t>[D' R' D' : [R U' R', D2]]</t>
  </si>
  <si>
    <t>[U'D' : [R U R', D2]]</t>
  </si>
  <si>
    <t>[U'D' R : [U', R D' R']]</t>
  </si>
  <si>
    <t>[U R' D : [U, R D' R']]</t>
  </si>
  <si>
    <t>[U' R U'D : [R' U R, D2]]</t>
  </si>
  <si>
    <t>[UD R : [R D' R', U]]</t>
  </si>
  <si>
    <t>[U' : [D', R U R']]</t>
  </si>
  <si>
    <t>[R' U2 R, D']</t>
  </si>
  <si>
    <t>[U' R U' : [R' D' R, U2]]</t>
  </si>
  <si>
    <t>[R' U' : [R' D R, U2]]</t>
  </si>
  <si>
    <t>[R' U'D : [R' D R, U2]]</t>
  </si>
  <si>
    <t>[D R' U' : [R D' R', U']]</t>
  </si>
  <si>
    <t>[U'D' R' U' : [R U R', D']]</t>
  </si>
  <si>
    <t>[l U : [R' D R, U2]]</t>
  </si>
  <si>
    <t>[D' R' : [U', R' D R]]</t>
  </si>
  <si>
    <t>[R' D : [U', R' D' R]]</t>
  </si>
  <si>
    <t>[U'D' R : [R D' R, U]]</t>
  </si>
  <si>
    <t>[R' DU' : [U', R D' R']]</t>
  </si>
  <si>
    <t>[R' U' R : [U, R D R']]</t>
  </si>
  <si>
    <t>[U' R : [R D' R', U]]</t>
  </si>
  <si>
    <t>[D2 R' : [U', R' D R]]</t>
  </si>
  <si>
    <t>[R' U' : [U', R D R']]</t>
  </si>
  <si>
    <t>[R' U' : [U', R D' R']]</t>
  </si>
  <si>
    <t>[U R' : [R' D' R, U2]]</t>
  </si>
  <si>
    <t>[R' : [U', R' D R]]</t>
  </si>
  <si>
    <t>[D R' : [U', R' D R]]</t>
  </si>
  <si>
    <t>[D R' U' : [U', R D' R']]</t>
  </si>
  <si>
    <t>[U R U', L']</t>
  </si>
  <si>
    <t>[l U'D : [R' D' R, U2]]</t>
  </si>
  <si>
    <t>[R U' R' : [U', R' D' R]]</t>
  </si>
  <si>
    <t>[U'D R' U' : [D', R U R']]</t>
  </si>
  <si>
    <t>[U R U R' : [R' D R, U]]</t>
  </si>
  <si>
    <t>[UD R U : [R' U' R, D]]</t>
  </si>
  <si>
    <t>[U R U : [D, R' U' R]]</t>
  </si>
  <si>
    <t>[UD' R U : [R' U' R, D]]</t>
  </si>
  <si>
    <t>F R' F' r U R U' r'</t>
  </si>
  <si>
    <t>[L', U R' U']</t>
  </si>
  <si>
    <t>[L', U R2 U']</t>
  </si>
  <si>
    <t>[U2 R U' : [R' U R, D']]</t>
  </si>
  <si>
    <t>[U' R' U' : [D, R U R']]</t>
  </si>
  <si>
    <t>[R' F R : [R D' R', U]]</t>
  </si>
  <si>
    <t>[U'D' R' U' : [D', R U R']]</t>
  </si>
  <si>
    <t>[L', U R U']</t>
  </si>
  <si>
    <t>L' U' L F L' U' L U L F' L2' U L U</t>
  </si>
  <si>
    <t>U F R U' R' U' R U R' F' R U R' U' R' F R F' U'</t>
  </si>
  <si>
    <t xml:space="preserve">R U' R U R' F' R U R' U' R' F R2 U' R2' </t>
  </si>
  <si>
    <t>UD R' F R2 U' R' U' R U R' F' R U R' D'U2</t>
  </si>
  <si>
    <t>D2 R2' U' R2 U R2' D' R2 U R2' U' R2 U'D'</t>
  </si>
  <si>
    <t>D R2' U' R2 U R2' D' R2 U R2' U' R2 U'D'</t>
  </si>
  <si>
    <t>R2 U' R U R' F' R U R' U' R' F R2 U' R</t>
  </si>
  <si>
    <t>D' R2 U' R U R' F' R U R' U' R' F R2 U' R D</t>
  </si>
  <si>
    <t>U' L U L' U' L F L' U' L U L F' L2 U2</t>
  </si>
  <si>
    <t>U R2 U' R' U' R U R' F' R U R' U' R' F U'</t>
  </si>
  <si>
    <t>U R' F R2 U' R' U' R U R' F' R U R' U2</t>
  </si>
  <si>
    <t>U' R UD' R' F' R U R' U' R' F R2 U' R' U' R D R' U</t>
  </si>
  <si>
    <t>U' L U' x U2' R2' F R F' R U2' r' U L U L' U</t>
  </si>
  <si>
    <t>D R U' R U R' F' R U R' U' R' F R2 U' R2' D'</t>
  </si>
  <si>
    <t>UD' R2 U' R' U' R U R' F' R U R' U' R' F U'D</t>
  </si>
  <si>
    <t>UD' R' F R2 U' R' U' R U R' F' R U R' DU2</t>
  </si>
  <si>
    <t>R' U' R U R' F' R U R' U' R' F R2 U'</t>
  </si>
  <si>
    <t>U R' U' R' U' R U R' F' R U R' U' R' F R' U'</t>
  </si>
  <si>
    <t>PROGRESS (270 TOTAL):</t>
  </si>
  <si>
    <t>[D : [R D R', U]]</t>
  </si>
  <si>
    <t>[R D2 R', U]</t>
  </si>
  <si>
    <t>r U R' U' r2' D R D' r</t>
  </si>
  <si>
    <t>[R' D R : [R D' R', U]]</t>
  </si>
  <si>
    <t>[D' R' D R : [R D' R', U]]</t>
  </si>
  <si>
    <t>[D : r U R' U' r2' D R D' r]</t>
  </si>
  <si>
    <t>[R D R', U]</t>
  </si>
  <si>
    <t>[U : [R' D' R, U]]</t>
  </si>
  <si>
    <t>[R D' R', U]</t>
  </si>
  <si>
    <t>[U : [R' D R, U]]</t>
  </si>
  <si>
    <t>[D' : [R D R', U]]</t>
  </si>
  <si>
    <t>[D : [R D' R', U]]</t>
  </si>
  <si>
    <t>I made this list so I can float UBR in the case that UFR/UFL are solved before the rest of edges are. That's why there's nothing including UFR/UFL here.</t>
  </si>
  <si>
    <t>[D : [U, R D R']]</t>
  </si>
  <si>
    <t>[U R' : [F', R D' R' D]]</t>
  </si>
  <si>
    <t>[R' UD' : [R U' R', D2]]</t>
  </si>
  <si>
    <t>[R' U R U : [R' D' R, U2]]</t>
  </si>
  <si>
    <t>[D R' : [R' D R, U]]</t>
  </si>
  <si>
    <t>[D, R' U' R]</t>
  </si>
  <si>
    <t>[R U : [D', R' U2 R]]</t>
  </si>
  <si>
    <t>[D R U : [R' U' R, D]]</t>
  </si>
  <si>
    <t>[D : [R' U' R, D]]</t>
  </si>
  <si>
    <t>[D : [R' U' R, D2]]</t>
  </si>
  <si>
    <t>[D' R' D : [R U R', D2]]</t>
  </si>
  <si>
    <t>[R' U : [R D R', U2]]</t>
  </si>
  <si>
    <t>[U, R D2 R']</t>
  </si>
  <si>
    <t>[U R' : [R D' R' D, F']]</t>
  </si>
  <si>
    <t>[U' R' : [D2, R' U R]]</t>
  </si>
  <si>
    <t>[UD R : [R D' R', U']]</t>
  </si>
  <si>
    <t>[UD R D : [U, R' D' R]]</t>
  </si>
  <si>
    <t>[U R D : [D, R' U' R]]</t>
  </si>
  <si>
    <t>[U : [D, R U R']]</t>
  </si>
  <si>
    <t>[UD : [R U R', D]]</t>
  </si>
  <si>
    <t>[D' R U : [R' U' R, D']]</t>
  </si>
  <si>
    <t>[D R' D' : [R U R', D2]]</t>
  </si>
  <si>
    <t>[UD : [R U R', D2]]</t>
  </si>
  <si>
    <t>[D R' DU : [R D' R', U2]]</t>
  </si>
  <si>
    <t>r' D R' D' r2 U R U' r'</t>
  </si>
  <si>
    <t>[R' UD : [R U' R', D2]]</t>
  </si>
  <si>
    <t>[R' F' : [R U' R', D']]</t>
  </si>
  <si>
    <t>[R' U R U : [R' D R, U2]]</t>
  </si>
  <si>
    <t>[R' UD : [R U' R', D]]</t>
  </si>
  <si>
    <t>[R' : [U, R' D R]]</t>
  </si>
  <si>
    <t>[f' : [R' D' R, U]]</t>
  </si>
  <si>
    <t>[UD' R U'D' : [R' U R, D2]]</t>
  </si>
  <si>
    <t>[UD' R U' : [D', R' U R]]</t>
  </si>
  <si>
    <t>[D' R' D : [U, R' D R]]</t>
  </si>
  <si>
    <t>[UD' R : [U', R D' R']]</t>
  </si>
  <si>
    <t>[R' : [U2, R' D R]]</t>
  </si>
  <si>
    <t>[R' D R : [U, R D' R']]</t>
  </si>
  <si>
    <t>[U' R' : [R' U R, D2]]</t>
  </si>
  <si>
    <t>[R' F' : [D', R U' R']]</t>
  </si>
  <si>
    <t>[D, R2' U' R2 U R2']</t>
  </si>
  <si>
    <t>[U' R UD R' : [R' D R, U']]</t>
  </si>
  <si>
    <t>[R : [R2 U R2 U' R2, D']]</t>
  </si>
  <si>
    <t>[U' R' : [R' U R, D']]</t>
  </si>
  <si>
    <t>[U' L' U, R2]</t>
  </si>
  <si>
    <t>[R' D R : [U', R D' R']]</t>
  </si>
  <si>
    <t>[D' R' : [U, R' D R]]</t>
  </si>
  <si>
    <t>[U' R' D : [R D' R', U]]</t>
  </si>
  <si>
    <t>[D' R' : [U2, R' D R]]</t>
  </si>
  <si>
    <t>[D' R' D R : [U, R D' R']]</t>
  </si>
  <si>
    <t>[R' U R U' : [R' D' R, U2]]</t>
  </si>
  <si>
    <t>[UD R : [U', R D' R']]</t>
  </si>
  <si>
    <t>[R' U R U' : [R' D R, U2]]</t>
  </si>
  <si>
    <t>[R2' U' R2 U R2', D]</t>
  </si>
  <si>
    <t>[R2' U' R2 U R2', D']</t>
  </si>
  <si>
    <t>[R' UD R : [U2, R D R']]</t>
  </si>
  <si>
    <t>[U R D' R' : [U, R' D R]]</t>
  </si>
  <si>
    <t>[UD R U' : [D', R' U R]]</t>
  </si>
  <si>
    <t>[D2 R' : [U, R' D R]]</t>
  </si>
  <si>
    <t>[R' U R : [U2, R D' R']]</t>
  </si>
  <si>
    <t>[D R' D'U : [R D R', U2]]</t>
  </si>
  <si>
    <t>[D : r' D R' D' r2 U R U' r']</t>
  </si>
  <si>
    <t>[D R' : [U, R' D R]]</t>
  </si>
  <si>
    <t>[UD R D : [R' D' R, U]]</t>
  </si>
  <si>
    <t>[R' UD : [D, R U' R']]</t>
  </si>
  <si>
    <t>[U' R UD R' : [U', R' D R]]</t>
  </si>
  <si>
    <t>[D', R2' U' R2 U R2']</t>
  </si>
  <si>
    <t>[R' D : [U, R' D R]]</t>
  </si>
  <si>
    <t>[U R : [U', R D' R']]</t>
  </si>
  <si>
    <t>[U R U' : [D', R' U R]]</t>
  </si>
  <si>
    <t>[D R' UD : [R U' R', D2]]</t>
  </si>
  <si>
    <t>[R' : [B2, R U' R' U]]</t>
  </si>
  <si>
    <t>[R' D'U : [R D R', U2]]</t>
  </si>
  <si>
    <t>[U, R D R']</t>
  </si>
  <si>
    <t>[R' U' R, D]</t>
  </si>
  <si>
    <t>[U R D : [R' U' R, D]]</t>
  </si>
  <si>
    <t>[R' : [R' D R, U]]</t>
  </si>
  <si>
    <t>[R : [D', R2 U R2 U' R2]]</t>
  </si>
  <si>
    <t>[R' D : [R' D R, U]]</t>
  </si>
  <si>
    <t>[R' D : [U', R D' R']]</t>
  </si>
  <si>
    <t>[U R D : [R' U' R, D2]]</t>
  </si>
  <si>
    <t>[R U : [R' U' R, D]]</t>
  </si>
  <si>
    <t>[R' U' R, D2]</t>
  </si>
  <si>
    <t>[R' U' R, D']</t>
  </si>
  <si>
    <t>[D R' U : [R D' R', U2]]</t>
  </si>
  <si>
    <t>[U : [U, R' D' R]]</t>
  </si>
  <si>
    <t>[U : [R U R', D]]</t>
  </si>
  <si>
    <t>[f' : [U, R' D' R]]</t>
  </si>
  <si>
    <t>[R' UD R : [R D R', U2]]</t>
  </si>
  <si>
    <t>[U R : [R D' R', U']]</t>
  </si>
  <si>
    <t>[R' D : [R D' R', U']]</t>
  </si>
  <si>
    <t>[U'D : [R' U R, D2]]</t>
  </si>
  <si>
    <t>[R U' : [R D R', U2]]</t>
  </si>
  <si>
    <t>[R' D' : [R U R', D2]]</t>
  </si>
  <si>
    <t>[R' D' : [R U R', D']]</t>
  </si>
  <si>
    <t>[U' : [D, R' U R]]</t>
  </si>
  <si>
    <t>[R' DU : [R D' R', U2]]</t>
  </si>
  <si>
    <t>[U, R D' R']</t>
  </si>
  <si>
    <t>[R U : [R' U2 R, D']]</t>
  </si>
  <si>
    <t>[D, L' U2 L]</t>
  </si>
  <si>
    <t>[UD' R U'D : [R' U R, D2]]</t>
  </si>
  <si>
    <t>[U' R' : [D', R' U R]]</t>
  </si>
  <si>
    <t>[U R D' R' : [R' D R, U]]</t>
  </si>
  <si>
    <t>[U R D' : [R' U' R, D2]]</t>
  </si>
  <si>
    <t>[U'D' : [R' U R, D2]]</t>
  </si>
  <si>
    <t>[R U : [R' U' R, D']]</t>
  </si>
  <si>
    <t>[UD R' : [R D' R' D, F']]</t>
  </si>
  <si>
    <t>[U' : [D', R' U R]]</t>
  </si>
  <si>
    <t>[U2' R : [R D' R', U2]]</t>
  </si>
  <si>
    <t>[D R U : [D, R' U' R]]</t>
  </si>
  <si>
    <t>[D' R U : [D', R' U' R]]</t>
  </si>
  <si>
    <t>[UD' R U' : [R' U R, D']]</t>
  </si>
  <si>
    <t>[R2, U' L' U]</t>
  </si>
  <si>
    <t>[UD R U' : [R' U R, D']]</t>
  </si>
  <si>
    <t>[U R U' : [R' U R, D']]</t>
  </si>
  <si>
    <t>[R U : [D, R' U' R]]</t>
  </si>
  <si>
    <t>[R U : [R D R', U2]]</t>
  </si>
  <si>
    <t>[R U : [D', R' U' R]]</t>
  </si>
  <si>
    <t>U R U' r2' D R' D' r2</t>
  </si>
  <si>
    <t>[D' R U : [D, R' U' R]]</t>
  </si>
  <si>
    <t>[R', U' L' U]</t>
  </si>
  <si>
    <t>[U : [U, R' D R]]</t>
  </si>
  <si>
    <t>[D : [D, R' U' R]]</t>
  </si>
  <si>
    <t>[R' D R : [R D' R', U']]</t>
  </si>
  <si>
    <t>[D2 R' : [R' D R, U]]</t>
  </si>
  <si>
    <t>[D R' UD' : [R U' R', D2]]</t>
  </si>
  <si>
    <t>[D2, R' U' R]</t>
  </si>
  <si>
    <t>[R' D : [R U R', D2]]</t>
  </si>
  <si>
    <t>[UD R' : [F', R D' R' D]]</t>
  </si>
  <si>
    <t>[U R' U : [R U' R', D]]</t>
  </si>
  <si>
    <t>[D' : [D', R' U' R]]</t>
  </si>
  <si>
    <t>[U' R' U : [R' D R, U]]</t>
  </si>
  <si>
    <t>[l : [U2, R D' R']]</t>
  </si>
  <si>
    <t>[D' : [U, R D R']]</t>
  </si>
  <si>
    <t>[D' : [R' U' R, D2]]</t>
  </si>
  <si>
    <t>[D R' D : [R U R', D2]]</t>
  </si>
  <si>
    <t>[D' R' D : [R' D R, U]]</t>
  </si>
  <si>
    <t>[D' R' : [R' D R, U]]</t>
  </si>
  <si>
    <t>[R' U R : [R D' R', U2]]</t>
  </si>
  <si>
    <t>[D', R' U' R]</t>
  </si>
  <si>
    <t>[R' D' : [D', R U R']]</t>
  </si>
  <si>
    <t>[D' R U : [R' U' R, D]]</t>
  </si>
  <si>
    <t>[D' : [R' U' R, D']]</t>
  </si>
  <si>
    <t>[R', U' L U]</t>
  </si>
  <si>
    <t>[R' U : [R D' R', U2]]</t>
  </si>
  <si>
    <t>[D : [U, R D' R']]</t>
  </si>
  <si>
    <t>[D' R' D' : [R U R', D2]]</t>
  </si>
  <si>
    <t>[UD' : [R U R', D2]]</t>
  </si>
  <si>
    <t>[UD' R : [R D' R', U']]</t>
  </si>
  <si>
    <t>[U' R' D : [U, R D' R']]</t>
  </si>
  <si>
    <t>[R' : [R U' R' U, B2]]</t>
  </si>
  <si>
    <t>[U : [D', R U R']]</t>
  </si>
  <si>
    <t>[U' : [R' U R, D']]</t>
  </si>
  <si>
    <t>[U' L' U, R']</t>
  </si>
  <si>
    <t>[U' R' U : [U, R' D R]]</t>
  </si>
  <si>
    <t>[U' L U, R']</t>
  </si>
  <si>
    <t>[D' R' DU : [R D' R', U2]]</t>
  </si>
  <si>
    <t>[R' U' : [R D R', U2]]</t>
  </si>
  <si>
    <t>[D R' DU' : [R D' R', U2]]</t>
  </si>
  <si>
    <t>[R' : [R' D R, U2]]</t>
  </si>
  <si>
    <t>[D' R' : [R' D R, U2]]</t>
  </si>
  <si>
    <t>[D R' D'U' : [R D R', U2]]</t>
  </si>
  <si>
    <t>[R' D'U' : [R D R', U2]]</t>
  </si>
  <si>
    <t>[D R' U' : [R D' R', U2]]</t>
  </si>
  <si>
    <t>[R' DU' : [R D' R', U2]]</t>
  </si>
  <si>
    <t>[U2' R : [U2, R D' R']]</t>
  </si>
  <si>
    <t>[l : [R D' R', U2]]</t>
  </si>
  <si>
    <t>[R' U' : [R D' R', U2]]</t>
  </si>
  <si>
    <t>[D' R' DU' : [R D' R', U2]]</t>
  </si>
  <si>
    <t>U R U R' F' R U R' U' R' F R2 U' R' U2</t>
  </si>
  <si>
    <t>U'D R2 U' R' U' R U R' F' R U R' U' R' F UD'</t>
  </si>
  <si>
    <t>U'D R' F R2 U' R' U' R U R' F' R U R' D'</t>
  </si>
  <si>
    <t>x U2' R2' F R F' R U2' r' U L</t>
  </si>
  <si>
    <t>D' x U2' R2' F R F' R U2' r' U L D</t>
  </si>
  <si>
    <t>U2 R2 U' R2 U R2 D' R2 U R2 U' R2 U D</t>
  </si>
  <si>
    <t>D x U2' R2' F R F' R U2' r' U L D'</t>
  </si>
  <si>
    <t>U' R2 U' R' U' R U R' F' R U R' U' R' F U</t>
  </si>
  <si>
    <t>U' R' F R2 U' R' U' R U R' F' R U R'</t>
  </si>
  <si>
    <t>U'D2 R' F R2 U' R' U' R U R' F' R U R' D2</t>
  </si>
  <si>
    <t>L' U L U L' U' L F L' U' L U L F' L'</t>
  </si>
  <si>
    <t>U'D' R2 U' R' U' R U R' F' R U R' U' R' F UD</t>
  </si>
  <si>
    <t>D'U' R' F R2 U' R' U' R U R' F' R U R' D</t>
  </si>
  <si>
    <t>L F' L' U L U L' U' L F L' U' L U L F' L' F L'</t>
  </si>
  <si>
    <t>PROGRESS (180 TOTAL):</t>
  </si>
  <si>
    <t>[R D'U : [R D' R', U2]]</t>
  </si>
  <si>
    <t>[U R' UD' : [R U' R', D2]]</t>
  </si>
  <si>
    <t>[R UD : [R D R', U2]]</t>
  </si>
  <si>
    <t>[UD R' : [R' D R, U]]</t>
  </si>
  <si>
    <t>[U : [D, R' U' R]]</t>
  </si>
  <si>
    <t>[R U : [R D' R', U2]]</t>
  </si>
  <si>
    <t>[U' : [R U' R', D]]</t>
  </si>
  <si>
    <t>[UD : [R' U' R, D2]]</t>
  </si>
  <si>
    <t>[D R D : [R' U R, D2]]</t>
  </si>
  <si>
    <t>I made this list so I can float UBL in the case that UFR/UFL/UBR are solved before the rest of edges are. That's why there's nothing including UFR/UFL/UBR here.</t>
  </si>
  <si>
    <t>[R D'U' : [R D' R', U2]]</t>
  </si>
  <si>
    <t>[R' : [D2, R' U R]]</t>
  </si>
  <si>
    <t>[D' R' : [D', R' U R]]</t>
  </si>
  <si>
    <t>[D' R2 U' : [R D' R', U2]]</t>
  </si>
  <si>
    <t>[R D : [D, R' U R]]</t>
  </si>
  <si>
    <t>[D : [D, R' U R]]</t>
  </si>
  <si>
    <t>[D' : [D', R' U R]]</t>
  </si>
  <si>
    <t>[D' R D' : [R' U R, D2]]</t>
  </si>
  <si>
    <t>[D2, R' U R]</t>
  </si>
  <si>
    <t>[U R' UD : [R U' R', D2]]</t>
  </si>
  <si>
    <t>[R U R' : [U', R' D R]]</t>
  </si>
  <si>
    <t>[D' R UD R' : [U', R' D R]]</t>
  </si>
  <si>
    <t>[D R U R' : [R' D R, U']]</t>
  </si>
  <si>
    <t>[U R' : [U, R' D R]]</t>
  </si>
  <si>
    <t>[f' : [R' D' R, U2]]</t>
  </si>
  <si>
    <t>[D R' : [R' U R, D2]]</t>
  </si>
  <si>
    <t>[UD R' D : [U, R' D R]]</t>
  </si>
  <si>
    <t>U R' U' r2 D R D' r2'</t>
  </si>
  <si>
    <t>[R' : [R' U R, D2]]</t>
  </si>
  <si>
    <t>[R U R' : [R' D R, U']]</t>
  </si>
  <si>
    <t>[D' R U R' : [U', R' D R]]</t>
  </si>
  <si>
    <t>[R UD R' : [R' D R, U']]</t>
  </si>
  <si>
    <t>[D R UD : [R' U' R, D2]]</t>
  </si>
  <si>
    <t>[R' : [R' U R, D']]</t>
  </si>
  <si>
    <t>[U R' D R : [U', R D' R']]</t>
  </si>
  <si>
    <t>[UD' R' : [U, R' D R]]</t>
  </si>
  <si>
    <t>[R' D : [R D' R', U]]</t>
  </si>
  <si>
    <t>[R U'D : [R D R', U2]]</t>
  </si>
  <si>
    <t>[D' R' : [R' U R, D']]</t>
  </si>
  <si>
    <t>[D' R UD R' : [R' D R, U']]</t>
  </si>
  <si>
    <t>[D' R U R' : [R' D R, U']]</t>
  </si>
  <si>
    <t>[R UD R' : [R' D R, U]]</t>
  </si>
  <si>
    <t>[R U'D' R' : [R' D R, U']]</t>
  </si>
  <si>
    <t>[R D' R' U : [R' D R, U]]</t>
  </si>
  <si>
    <t>[U' R : [R U' R', D]]</t>
  </si>
  <si>
    <t>[R UD : [R' U' R, D2]]</t>
  </si>
  <si>
    <t>[UD R' : [U, R' D R]]</t>
  </si>
  <si>
    <t>[D' R2 U : [R D' R', U2]]</t>
  </si>
  <si>
    <t>[D R U R' : [U', R' D R]]</t>
  </si>
  <si>
    <t>[R UD R' : [U', R' D R]]</t>
  </si>
  <si>
    <t>[R UD R' : [U, R' D R]]</t>
  </si>
  <si>
    <t>U' r2 U' R' U r2' D' R DU</t>
  </si>
  <si>
    <t>[U2 R : [U', R D' R']]</t>
  </si>
  <si>
    <t>[D' R UD : [R' U' R, D2]]</t>
  </si>
  <si>
    <t>[U R' : [B2, R U' R' U]]</t>
  </si>
  <si>
    <t>[U : [R' U' R, D]]</t>
  </si>
  <si>
    <t>[R D : [R' U R, D]]</t>
  </si>
  <si>
    <t>[U R' : [R' D R, U]]</t>
  </si>
  <si>
    <t>[D R UD' : [R' U' R, D2]]</t>
  </si>
  <si>
    <t>U'D' R' D r2 U' R U r2' U</t>
  </si>
  <si>
    <t>[f' U' : [R D R', U2]]</t>
  </si>
  <si>
    <t>[R D : [R' U R, D2]]</t>
  </si>
  <si>
    <t>[U'D' : [R U' R', D2]]</t>
  </si>
  <si>
    <t>[U : [R' U' R, D']]</t>
  </si>
  <si>
    <t>[D : [R' U R, D]]</t>
  </si>
  <si>
    <t>[f' : [U2, R' D' R]]</t>
  </si>
  <si>
    <t>[R U'D' R' : [U', R' D R]]</t>
  </si>
  <si>
    <t>[U2 R : [R D' R', U']]</t>
  </si>
  <si>
    <t>[f' U : [R D R', U2]]</t>
  </si>
  <si>
    <t>[D : [R' U R, D2]]</t>
  </si>
  <si>
    <t>[R U' R' : [U', R' D R]]</t>
  </si>
  <si>
    <t>[R U'D R' : [U', R' D R]]</t>
  </si>
  <si>
    <t>[D, R' U R]</t>
  </si>
  <si>
    <t>[R U' : [R D' R', U2]]</t>
  </si>
  <si>
    <t>[D' : [R' U R, D']]</t>
  </si>
  <si>
    <t>[D R' : [D2, R' U R]]</t>
  </si>
  <si>
    <t>[R' : [D', R' U R]]</t>
  </si>
  <si>
    <t>[R2 U' : [R D' R', U2]]</t>
  </si>
  <si>
    <t>[R D' : [R' U R, D2]]</t>
  </si>
  <si>
    <t>[D' : [R' U R, D2]]</t>
  </si>
  <si>
    <t>[U'D R D : [R' D' R, U']]</t>
  </si>
  <si>
    <t>[D', R' U R]</t>
  </si>
  <si>
    <t>[U' : [D, R U' R']]</t>
  </si>
  <si>
    <t>[U R' D R : [R D' R', U']]</t>
  </si>
  <si>
    <t>[U' R : [D, R U' R']]</t>
  </si>
  <si>
    <t>[D' R UD' : [R' U' R, D2]]</t>
  </si>
  <si>
    <t>[U'D : [R U' R', D2]]</t>
  </si>
  <si>
    <t>[R U' R' : [R' D R, U']]</t>
  </si>
  <si>
    <t>[U'D R D : [U', R' D' R]]</t>
  </si>
  <si>
    <t>[U'D : [R U' R', D]]</t>
  </si>
  <si>
    <t>[R' U : [R' D R, U]]</t>
  </si>
  <si>
    <t>[UD' : [R' U' R, D2]]</t>
  </si>
  <si>
    <t>[D' R D : [R' U R, D2]]</t>
  </si>
  <si>
    <t>[UD R' D : [R' D R, U]]</t>
  </si>
  <si>
    <t>[UD' R' : [R' D R, U]]</t>
  </si>
  <si>
    <t>[R UD' : [R' U' R, D2]]</t>
  </si>
  <si>
    <t>[U : [D', R' U' R]]</t>
  </si>
  <si>
    <t>[R U'D R' : [R' D R, U']]</t>
  </si>
  <si>
    <t>[U'D : [D, R U' R']]</t>
  </si>
  <si>
    <t>[U R' U', L]</t>
  </si>
  <si>
    <t>[D R D' : [R' U R, D2]]</t>
  </si>
  <si>
    <t>[R' U R, D2]</t>
  </si>
  <si>
    <t>r2' D R' D' r2 U R U'</t>
  </si>
  <si>
    <t>[R' D : [U, R D' R']]</t>
  </si>
  <si>
    <t>[U R' : [R U' R' U, B2]]</t>
  </si>
  <si>
    <t>[R' U R, D]</t>
  </si>
  <si>
    <t>[R' U R, D']</t>
  </si>
  <si>
    <t>[R' U : [U, R' D R]]</t>
  </si>
  <si>
    <t>[L, U R' U']</t>
  </si>
  <si>
    <t>U' R U' R U R' F' R U R' U' R' F R2 U' R2' U</t>
  </si>
  <si>
    <t>D R' F R2 U' R' U' R U R' F' R U R' U'D'</t>
  </si>
  <si>
    <t>U x U2' R2' F R F' R U2' r' U L U'</t>
  </si>
  <si>
    <t xml:space="preserve">U' D R2 U' R2 U R2 D' R2 U R2 U' R2 </t>
  </si>
  <si>
    <t>U' R2 U' R2 U R2 D' R2 U R2 U' R2 D</t>
  </si>
  <si>
    <t>U'D' R2' U' R U R' F' R U R' U' R' F R2 U' R UD</t>
  </si>
  <si>
    <t>R2 U' R' U' R U R' F' R U R' U' R' F</t>
  </si>
  <si>
    <t>R' F R2 U' R' U' R U R' F' R U R' U'</t>
  </si>
  <si>
    <t>D2 R' F R2 U' R' U' R U R' F' R U R' U'D2</t>
  </si>
  <si>
    <t>U'D R U' R U R' F' R U R' U' R' F R2 U' R2' UD'</t>
  </si>
  <si>
    <t>D' R2 U' R' U' R U R' F' R U R' U' R' F D</t>
  </si>
  <si>
    <t>D' R' F R2 U' R' U' R U R' F' R U R' U'D</t>
  </si>
  <si>
    <t>PROGRESS (108 TOTAL):</t>
  </si>
  <si>
    <t>[D R : [D2, R U R']]</t>
  </si>
  <si>
    <t>[R D R' : [F', R D' R' D]]</t>
  </si>
  <si>
    <t>[R U : [D, R U' R']]</t>
  </si>
  <si>
    <t>[R UD : [R U' R', D]]</t>
  </si>
  <si>
    <t>[R' D' R : [D2, R U R']]</t>
  </si>
  <si>
    <t>[R U R' D : [R U' R', D2]]</t>
  </si>
  <si>
    <t>I made this list so I can float RFD in the case that UFR/UFL/UBR/UBL are solved before the rest of edges are. That's why there's nothing including UFR/UFL/UBR/UBL here.</t>
  </si>
  <si>
    <t>[R' UD R : [U', R D' R']]</t>
  </si>
  <si>
    <t>[R' B R, F']</t>
  </si>
  <si>
    <t>[R D' R' D, F']</t>
  </si>
  <si>
    <t>[F' : [R U R', D2]]</t>
  </si>
  <si>
    <t>[B : [R' B' R, F']]</t>
  </si>
  <si>
    <t>[R : [D, R U R']]</t>
  </si>
  <si>
    <t>[D R : [R U R', D2]]</t>
  </si>
  <si>
    <t>[R' UD R : [R D' R', U']]</t>
  </si>
  <si>
    <t>[R U R' U'D' : [R U R', D']]</t>
  </si>
  <si>
    <t>[R U'D' R' : [U, R' D R]]</t>
  </si>
  <si>
    <t>[R : [R2 U R2 U' R2, D]]</t>
  </si>
  <si>
    <t>[R' : [D', R2 U' R2 U R2]]</t>
  </si>
  <si>
    <t>[R D R' : [R D' R' D, F']]</t>
  </si>
  <si>
    <t>[F', R' B R]</t>
  </si>
  <si>
    <t>[R U R' U'D' : [D', R U R']]</t>
  </si>
  <si>
    <t>[D L D', R']</t>
  </si>
  <si>
    <t>[R' D' R U'D : [R' U' R, D2]]</t>
  </si>
  <si>
    <t>[R : [R U R', D2]]</t>
  </si>
  <si>
    <t>[R U : [R U' R', D]]</t>
  </si>
  <si>
    <t>[F', R D' R' D]</t>
  </si>
  <si>
    <t>[R', D L D']</t>
  </si>
  <si>
    <t>[R U'D : [R' U' R, D2]]</t>
  </si>
  <si>
    <t>[R' UD : [R U R', D2]]</t>
  </si>
  <si>
    <t>[D' R : [R U R', D]]</t>
  </si>
  <si>
    <t>[R UD : [D, R U' R']]</t>
  </si>
  <si>
    <t>[F' : [D2, R U R']]</t>
  </si>
  <si>
    <t>[R U'D' R' : [R' D R, U]]</t>
  </si>
  <si>
    <t>[R U'D' : [R' U' R, D2]]</t>
  </si>
  <si>
    <t>[Lw UD' : [R' U' R, D2]]</t>
  </si>
  <si>
    <t>[R U' R' D' : [D', R U R']]</t>
  </si>
  <si>
    <t>[R : [D, R2 U R2 U' R2]]</t>
  </si>
  <si>
    <t>[R' D' R U'D' : [R' U' R, D2]]</t>
  </si>
  <si>
    <t>[R' UD' : [R U R', D2]]</t>
  </si>
  <si>
    <t>[Lw UD : [R' U' R, D2]]</t>
  </si>
  <si>
    <t>[R' F D' : [D', R U' R']]</t>
  </si>
  <si>
    <t>[R' : [R' U' R, D2]]</t>
  </si>
  <si>
    <t>[R' D' R : [R U R', D2]]</t>
  </si>
  <si>
    <t>[B : [F', R' B' R]]</t>
  </si>
  <si>
    <t>[R' : [R2 U' R2 U R2, D']]</t>
  </si>
  <si>
    <t>[D' R : [D, R U R']]</t>
  </si>
  <si>
    <t>[R' F D' : [R U' R', D']]</t>
  </si>
  <si>
    <t>[R' : [R' U' R, D']]</t>
  </si>
  <si>
    <t>[R U R' D' : [R U' R', D2]]</t>
  </si>
  <si>
    <t>[R : [R U R', D]]</t>
  </si>
  <si>
    <t>[R : [D2, R U R']]</t>
  </si>
  <si>
    <t>[R U' R' D' : [R U R', D']]</t>
  </si>
  <si>
    <t>[R' : [D2, R' U' R]]</t>
  </si>
  <si>
    <t>[R' : [D', R' U' R]]</t>
  </si>
  <si>
    <t>R' U' D R' D' R2 D R' U D' R' D' R U' R' U D R</t>
  </si>
  <si>
    <t>D R U'D R2' U' R D' R' UD R2 D' R' U R' D'</t>
  </si>
  <si>
    <t>D' R' U'D R D' R D R' U R' D' R D' R U' R' D R UD</t>
  </si>
  <si>
    <t>U2 R D' R' U2 R U'D' R' D R' D' R2 D R' UD R'</t>
  </si>
  <si>
    <t>R U'D R2' U' R D' R' UD R2 D' R' U R'</t>
  </si>
  <si>
    <t>R U'D' R U R2' U' R D R' U R' U' R U R</t>
  </si>
  <si>
    <t>R' U'D R D' R D R' U R' D' R D' R U' R' D R U</t>
  </si>
  <si>
    <t>R' D' R U' R' D R' D' R2 U R U'D R' UD' R' D</t>
  </si>
  <si>
    <t>R U' R U' R2' D R' D' R2 UD R' UD' R'</t>
  </si>
  <si>
    <t>PROGRESS (54 TOTAL):</t>
  </si>
  <si>
    <t>[D' R' : [D', R' U' R]]</t>
  </si>
  <si>
    <t>[R F' R', B]</t>
  </si>
  <si>
    <t>[l'R' U'D' R : [R D' R', U]]</t>
  </si>
  <si>
    <t>I made this list so I can float FDL in the case that UFR/UFL/UBR/UBL/RFD are solved before the rest of edges are. That's why there's nothing including UFR/UFL/UBR/UBL/RFD here.</t>
  </si>
  <si>
    <t>[D' R' : [R' U' R, D']]</t>
  </si>
  <si>
    <t>[L, D' R' D]</t>
  </si>
  <si>
    <t>[l' U'D : [R U R', D2]]</t>
  </si>
  <si>
    <t>[D' R' D, L]</t>
  </si>
  <si>
    <t>[l' D' : [R U' R', D2]]</t>
  </si>
  <si>
    <t>[D' R : [R U R', D2]]</t>
  </si>
  <si>
    <t>[B, R F' R']</t>
  </si>
  <si>
    <t>[l' D : [R U' R', D2]]</t>
  </si>
  <si>
    <t>[F D' : [D', R U' R']]</t>
  </si>
  <si>
    <t>[l'R' U'D' R : [U, R D' R']]</t>
  </si>
  <si>
    <t>[D' R : [D2, R U R']]</t>
  </si>
  <si>
    <t>[R' UD' R D' : [R' U' R, D2]]</t>
  </si>
  <si>
    <t>[l' U'D' : [R U R', D2]]</t>
  </si>
  <si>
    <t>[F D' : [R U' R', D']]</t>
  </si>
  <si>
    <t>[R' UD' R D : [R' U' R, D2]]</t>
  </si>
  <si>
    <t>DU2 R D' R' U2 R U'D' R' D R' D' R2 D R' UD R' D'</t>
  </si>
  <si>
    <t>z U' R' D' R U' R' D R2 U R2' U'D' R U R' D R2 U</t>
  </si>
  <si>
    <t>D R' D' R U' R' D R' D' R2 U R U'D R' UD' R'</t>
  </si>
  <si>
    <t>L2' U L U2 L' U2' L F' L' U' L U L F</t>
  </si>
  <si>
    <t>D R' U'D R D' R D R' U R' D' R D' R U' R' D R UD'</t>
  </si>
  <si>
    <t>D R U'D' R U R2' U' R D R' U R' U' R U R D'</t>
  </si>
  <si>
    <t>PROGRESS (18 TOTAL):</t>
  </si>
  <si>
    <t>UB</t>
  </si>
  <si>
    <t>UR</t>
  </si>
  <si>
    <t>UL</t>
  </si>
  <si>
    <t>FR</t>
  </si>
  <si>
    <t>DF</t>
  </si>
  <si>
    <t>FL</t>
  </si>
  <si>
    <t>DR</t>
  </si>
  <si>
    <t>DB</t>
  </si>
  <si>
    <t>DL</t>
  </si>
  <si>
    <t>BR</t>
  </si>
  <si>
    <t>BL</t>
  </si>
  <si>
    <t>U R' E2 R2 E' R' U' R E R2' E2 R</t>
  </si>
  <si>
    <t>L E2' L2' E L U' L' E' L2 E2' L' U</t>
  </si>
  <si>
    <t>L E' L' U' L E L2' E2' L U L' E2' L</t>
  </si>
  <si>
    <t>M' U2 M U' S R' F' R S' R' F R U'</t>
  </si>
  <si>
    <t>R' E R U R' E' R2 E2 R' U' R E2 R'</t>
  </si>
  <si>
    <t>U' R E R' U2 R E' R' S R2' S' R2 U'</t>
  </si>
  <si>
    <t>M U' S R' F' R S' R' F R U' M' U2</t>
  </si>
  <si>
    <t>U L' E' L U2 L' E L S' L2 S L2' U</t>
  </si>
  <si>
    <t>L' E L U' L' E' L2 E2' L' U L E2' L'</t>
  </si>
  <si>
    <t>R E' R' U R E R2' E2 R U' R' E2 R</t>
  </si>
  <si>
    <t>S R' F' R S' R' F R U' M' U2 M U'</t>
  </si>
  <si>
    <t>U L E' L' U L E L2' E2' L U' L' E2' L U'</t>
  </si>
  <si>
    <t>U' M' U2 M U' S R' F' R S' R' F R</t>
  </si>
  <si>
    <t>S R' E R2 E' R2' F2 R S' R' F2 R</t>
  </si>
  <si>
    <t>R' F' R S' R' F R U' M' U2 M U' S</t>
  </si>
  <si>
    <t>U M U2 M' U S R B R' S' R B' R'</t>
  </si>
  <si>
    <t>R2' S' R2 U2 R E R' U2 R E' R' S</t>
  </si>
  <si>
    <t>U L' E L U L' E' L2 E2' L' U' L E2' L' U'</t>
  </si>
  <si>
    <t>S R E' R2' E R2 B2 R' S' R B2 R'</t>
  </si>
  <si>
    <t>S' L E' L2' E L2 F2' L' S L F2' L'</t>
  </si>
  <si>
    <t>U M' U2 M U S' L F L' S L F' L'</t>
  </si>
  <si>
    <t>U' R' E R U' R' E' R2 E2 R' U R E2 R' U</t>
  </si>
  <si>
    <t>S R2' S' R2 U2 R E R' U2 R E' R'</t>
  </si>
  <si>
    <t>U M U' S R' F' R S' R' F R U' M' U</t>
  </si>
  <si>
    <t>L F L' S L F' L' U M' U2 M U S'</t>
  </si>
  <si>
    <t>S' L' E L2 E' L2' B2' L S L' B2' L</t>
  </si>
  <si>
    <t>U' R E' R' U' R E R2' E2 R U R' E2 R U</t>
  </si>
  <si>
    <t>M'L E' L' U L E L2' E2' L U' L' E2' l</t>
  </si>
  <si>
    <t>R S R' E R2 E' R2' F2 R S' R' F2</t>
  </si>
  <si>
    <t>S' U L E' L' U L E L2' E2' L U' L' E2' L U' S</t>
  </si>
  <si>
    <t>D L E' L2 E L2 F2' L' S L F2' L' S' D'</t>
  </si>
  <si>
    <t>L E' L2' E L2 F2' L' S L F2' L' S'</t>
  </si>
  <si>
    <t>F' R S' R' F R U' M' U2 M U' S R'</t>
  </si>
  <si>
    <t>R2 E' R2' F2 R S' R' F2 R S R' E</t>
  </si>
  <si>
    <t>M'R' E R U' R' E' R2 E2 R' U R E2 r'</t>
  </si>
  <si>
    <t>rL E' L' U L E L2' E2' L U' L' E2'</t>
  </si>
  <si>
    <t>M U M' U M' U2 M U M U M U2 M2'</t>
  </si>
  <si>
    <t>l'R' E R U' R' E' R2 E2 R' U R E2</t>
  </si>
  <si>
    <t>R' U' M' U2 M U' S R' F' R S' R' F R2</t>
  </si>
  <si>
    <t>L U M' U2 M U S' L F L' S L F' L2'</t>
  </si>
  <si>
    <t>R' E R2 E' R2' F2 R S' R' F2 R S</t>
  </si>
  <si>
    <t>D' R' E R2 E' R2' F2 R S' R' F2 R S D</t>
  </si>
  <si>
    <t>S U' R' E R U' R' E' R2 E2 R' U R E2 R' U S'</t>
  </si>
  <si>
    <t>E R2 E' R2' F2 R S' R' F2 R S R'</t>
  </si>
  <si>
    <t>F L' S L F' L' U M' U2 M U S' L</t>
  </si>
  <si>
    <t>r'L' E L U' L' E' L2 E2' L' U L E2'</t>
  </si>
  <si>
    <t>D' M D2 M' D' R F R' S' R F' R' S</t>
  </si>
  <si>
    <t>S' U L' E L U L' E' L2 E2' L' U' L E2' L' U' S</t>
  </si>
  <si>
    <t>R E' R2' E R2 B2 R' S' R B2 R' S</t>
  </si>
  <si>
    <t>lR E' R' U R E R2' E2 R U' R' E2</t>
  </si>
  <si>
    <t>ML' E L U' L' E' L2 E2' L' U L E2' l'</t>
  </si>
  <si>
    <t>MR E' R' U R E R2' E2 R U' R' E2 r</t>
  </si>
  <si>
    <t>L' E L2 E' L2' B2' L S L' B2' L S'</t>
  </si>
  <si>
    <t>S U' R E' R' U' R E R2' E2 R U R' E2 R U S'</t>
  </si>
  <si>
    <t>R' S R E' R2' E R2 B2 R' S' R B2</t>
  </si>
  <si>
    <t>A (UBl)</t>
  </si>
  <si>
    <t>B (URb)</t>
  </si>
  <si>
    <t>D (ULf)</t>
  </si>
  <si>
    <t>E (FUl)</t>
  </si>
  <si>
    <t>F (FRu)</t>
  </si>
  <si>
    <t>G (FDr)</t>
  </si>
  <si>
    <t>H (FLd)</t>
  </si>
  <si>
    <t>I (DFl)</t>
  </si>
  <si>
    <t>J (DRf)</t>
  </si>
  <si>
    <t>K (DBr)</t>
  </si>
  <si>
    <t>L (DLb)</t>
  </si>
  <si>
    <t>M (RBu)</t>
  </si>
  <si>
    <t>N (RDb)</t>
  </si>
  <si>
    <t>O (RFd)</t>
  </si>
  <si>
    <t>P (RUf)</t>
  </si>
  <si>
    <t>Q (LBd)</t>
  </si>
  <si>
    <t>R (LUb)</t>
  </si>
  <si>
    <t>S (LFu)</t>
  </si>
  <si>
    <t>T (LDf)</t>
  </si>
  <si>
    <t>U (BDl)</t>
  </si>
  <si>
    <t>V (BRd)</t>
  </si>
  <si>
    <t>W (BUr)</t>
  </si>
  <si>
    <t>Y (BLu)</t>
  </si>
  <si>
    <t>[Rw' U : [U r U', R]]</t>
  </si>
  <si>
    <t>[Lw' U : [L, U l U']]</t>
  </si>
  <si>
    <t>[Lw' D : [U2, r' D r]]</t>
  </si>
  <si>
    <t>[Lw' U' : [R, U' l U]]</t>
  </si>
  <si>
    <t>[U R' U' : [r, U' R U]]</t>
  </si>
  <si>
    <t>[Rw' U' : [U' r U, L']]</t>
  </si>
  <si>
    <t>[U' R' U : [U R U', l2]]</t>
  </si>
  <si>
    <t>[Rw' U : [U r U', R']]</t>
  </si>
  <si>
    <t>[U R' U' : [r2, U' R U]]</t>
  </si>
  <si>
    <t>[Lw' U : [L', U l U']]</t>
  </si>
  <si>
    <t>[U' : [L' u' L, U2]]</t>
  </si>
  <si>
    <t>[r' D' r, U2]</t>
  </si>
  <si>
    <t>[R' : [r' D' r, U2]]</t>
  </si>
  <si>
    <t>[x' U' : [U' r2 U, R]]</t>
  </si>
  <si>
    <t>[L' : [U2, l' D' l]]</t>
  </si>
  <si>
    <t>[x' U : [U r2 U', L']]</t>
  </si>
  <si>
    <t>[L : [U2, l' D' l]]</t>
  </si>
  <si>
    <t>[r' D r, U2]</t>
  </si>
  <si>
    <t>[D' : [r' D' r, U2]]</t>
  </si>
  <si>
    <t>[Lw' U' : [R', U' l U]]</t>
  </si>
  <si>
    <t>[Lw' D' R : [U R U', r]]</t>
  </si>
  <si>
    <t>[Rw' U' : [U' r U, L]]</t>
  </si>
  <si>
    <t>[Rw' U : [R, U r U']]</t>
  </si>
  <si>
    <t>[Rw' U' : [U' R U, r]]</t>
  </si>
  <si>
    <t>[Lw' Rw' U : [R, U r U']]</t>
  </si>
  <si>
    <t>[3Lw : [U r U', R]]</t>
  </si>
  <si>
    <t>[r, R U' R' U]</t>
  </si>
  <si>
    <t>[z' : [L', U r2 U']]</t>
  </si>
  <si>
    <t>[3Lw : [D2, r U r']]</t>
  </si>
  <si>
    <t>[3Lw : [U r U', R2]]</t>
  </si>
  <si>
    <t>[r2, R U' R' U]</t>
  </si>
  <si>
    <t>[D' : [r2, R U' R' U]]</t>
  </si>
  <si>
    <t>[R D' : [r, U' R' U]]</t>
  </si>
  <si>
    <t>[U', R' u R]</t>
  </si>
  <si>
    <t>[R' D' : [r, U' R U]]</t>
  </si>
  <si>
    <t>[U' Rw U : [R', U r2 U']]</t>
  </si>
  <si>
    <t>[z' : [L', U r' U']]</t>
  </si>
  <si>
    <t>[U' : [Rw U R' U', l']]</t>
  </si>
  <si>
    <t>[U', R' u' R]</t>
  </si>
  <si>
    <t>[r' D r, U]</t>
  </si>
  <si>
    <t>[D : [r' D r, U]]</t>
  </si>
  <si>
    <t>[r' : [U r U', R']]</t>
  </si>
  <si>
    <t>[r', R' U' R U]</t>
  </si>
  <si>
    <t>[z' : [L', U' l2 U]]</t>
  </si>
  <si>
    <t>[Lw' U : [U l U', L]]</t>
  </si>
  <si>
    <t>[Rw' U' : [r, U' R U]]</t>
  </si>
  <si>
    <t>[Lw U : [U l2 U', L']]</t>
  </si>
  <si>
    <t>[U, L' u2 L]</t>
  </si>
  <si>
    <t>[U' : [R U' R' U, r]]</t>
  </si>
  <si>
    <t>[3Rw' : [U' r U, L']]</t>
  </si>
  <si>
    <t>[Lw U : [U l U', L']]</t>
  </si>
  <si>
    <t>[Rw' U' : [r, U' R' U]]</t>
  </si>
  <si>
    <t>[U' :  [R U' R' U, r2]]</t>
  </si>
  <si>
    <t>[D' U' : [R U' R' U, r2]]</t>
  </si>
  <si>
    <t>[U, L' u' L]</t>
  </si>
  <si>
    <t>[r' D' r, U']</t>
  </si>
  <si>
    <t>[R' : [r' D' r, U']]</t>
  </si>
  <si>
    <t>[U' : [R' U' R U, r']]</t>
  </si>
  <si>
    <t>[Lw' D : [r, U L U']]</t>
  </si>
  <si>
    <t>[U' Rw' Lw' U : [U r U', R]]</t>
  </si>
  <si>
    <t>[U' : [R' u' R, U']]</t>
  </si>
  <si>
    <t>[r' D r, U']</t>
  </si>
  <si>
    <t>[D : [r' D r, U']]</t>
  </si>
  <si>
    <t>[r' U' : [r, U' R' U]]</t>
  </si>
  <si>
    <t>[r', Lw U L' U']</t>
  </si>
  <si>
    <t>[u : [U, L' u' L]]</t>
  </si>
  <si>
    <t>[Lw' D' : [r' D' r, U2]]</t>
  </si>
  <si>
    <t>[Lw' Rw' U : [U r U', R]]</t>
  </si>
  <si>
    <t>[Lw U : [L', U l2 U']]</t>
  </si>
  <si>
    <t>[Lw U' : [R, U' l2 U]]</t>
  </si>
  <si>
    <t>[Lw' D' : [r' D r, U2]]</t>
  </si>
  <si>
    <t>[Lw2 U : [L, U l U']]</t>
  </si>
  <si>
    <t>[Rw D' : [r D' r', U2]]</t>
  </si>
  <si>
    <t>[r : [r D r', U2]]</t>
  </si>
  <si>
    <t>[D Rw : [r D' r', U2]]</t>
  </si>
  <si>
    <t>[Rw : [r D' r', U2]]</t>
  </si>
  <si>
    <t>[r' U' : [U' r2 U, R']]</t>
  </si>
  <si>
    <t>[Rw' U' : [U' r2 U, R']]</t>
  </si>
  <si>
    <t>[Rw2 U' : [U' r' U, R']]</t>
  </si>
  <si>
    <t>[Rw' U' : [U' r2 U, R]]</t>
  </si>
  <si>
    <t>[Lw' : [r' D r, U2]]</t>
  </si>
  <si>
    <t>[Rw2 : [l D2 l', U']]</t>
  </si>
  <si>
    <t>[Rw' U : [U r2 U', L']]</t>
  </si>
  <si>
    <t>[l' : [U2, l' D' l]]</t>
  </si>
  <si>
    <t>[D' Rw' U' : [U' r2 U, R']]</t>
  </si>
  <si>
    <t>[Rw : [r D r', U2]]</t>
  </si>
  <si>
    <t>[Rw D' : [r D r', U2]]</t>
  </si>
  <si>
    <t>[Lw2 U : [L', U l U']]</t>
  </si>
  <si>
    <t>[Lw' U' : [U' l U, R]]</t>
  </si>
  <si>
    <t>[4Lw : [R, U r U']]</t>
  </si>
  <si>
    <t>[L' u2 L, U]</t>
  </si>
  <si>
    <t>[Lw U' : [U' l2 U, R]]</t>
  </si>
  <si>
    <t>[r, U' R U]</t>
  </si>
  <si>
    <t>[z U' : [U' r2 U, R]]</t>
  </si>
  <si>
    <t>[U' : [R, U' l2 U]]</t>
  </si>
  <si>
    <t>[D r2 D', R']</t>
  </si>
  <si>
    <t>[r2, U' R U]</t>
  </si>
  <si>
    <t>[D' : [r2, U' R U]]</t>
  </si>
  <si>
    <t>[R U' R', u']</t>
  </si>
  <si>
    <t>[D' : [r, U' R U]]</t>
  </si>
  <si>
    <t>[Dw 3Lw R : [U r U', R2]]</t>
  </si>
  <si>
    <t>[F : [U' r2 U, R]]</t>
  </si>
  <si>
    <t>[z' U : [L', U r' U']]</t>
  </si>
  <si>
    <t>[L : [R U' R', u']]</t>
  </si>
  <si>
    <t>[D : [r, U' R' U]]</t>
  </si>
  <si>
    <t>[U' : [U' l U, R]]</t>
  </si>
  <si>
    <t>[Rw' : [R2, U r U']]</t>
  </si>
  <si>
    <t>[r', U' R U]</t>
  </si>
  <si>
    <t>[z : [r2, U R U']]</t>
  </si>
  <si>
    <t>[U R' U' : [U' R U, r]]</t>
  </si>
  <si>
    <t>[R U' R' U, r]</t>
  </si>
  <si>
    <t>[U' : [r, R U' R' U]]</t>
  </si>
  <si>
    <t>[Lw' D' : [U2, r' D r]]</t>
  </si>
  <si>
    <t>[U' R U, r]</t>
  </si>
  <si>
    <t>[U L' U', r]</t>
  </si>
  <si>
    <t>[Lw U' : [r U r', D2]]</t>
  </si>
  <si>
    <t>[U' R2 U, r]</t>
  </si>
  <si>
    <t>[U' Rw : [r, U' R' U]]</t>
  </si>
  <si>
    <t>[Lw' : [U L' U', r]]</t>
  </si>
  <si>
    <t>[r : [U R' U', r]]</t>
  </si>
  <si>
    <t>[Rw : [U R U', r]]</t>
  </si>
  <si>
    <t>[r : [U R U', r]]</t>
  </si>
  <si>
    <t>[Rw : [U R' U', r]]</t>
  </si>
  <si>
    <t>[r : [U' L U, r]]</t>
  </si>
  <si>
    <t>[3Lw' : [U' L U, r]]</t>
  </si>
  <si>
    <t>[r : [U' L' U, r]]</t>
  </si>
  <si>
    <t>[U' : [r U r', D]]</t>
  </si>
  <si>
    <t>[U' : [r U r', D2]]</t>
  </si>
  <si>
    <t>[U' R' U, r]</t>
  </si>
  <si>
    <t>[D R : [U R U', r]]</t>
  </si>
  <si>
    <t>[U L U', r]</t>
  </si>
  <si>
    <t>[Rw' U' : [L', U' r U]]</t>
  </si>
  <si>
    <t>[z' : [U r2 U', L']]</t>
  </si>
  <si>
    <t>[3Rw' : [L', U' r U]]</t>
  </si>
  <si>
    <t>[Lw2 U : [U l U', L]]</t>
  </si>
  <si>
    <t>[z U' : [R, U' r2 U]]</t>
  </si>
  <si>
    <t>[r, U L' U']</t>
  </si>
  <si>
    <t>[U : [U l2 U', L']]</t>
  </si>
  <si>
    <t>[D : [r2, U L' U']]</t>
  </si>
  <si>
    <t>[r2, U L' U']</t>
  </si>
  <si>
    <t>[L, D' r2 D]</t>
  </si>
  <si>
    <t>[L' : [U, L' u' L]]</t>
  </si>
  <si>
    <t>[D' : [r, U L' U']]</t>
  </si>
  <si>
    <t>[z : [U' R U, l']]</t>
  </si>
  <si>
    <t>[z D' : [U' R U, l']]</t>
  </si>
  <si>
    <t>[z : [U' R U, l]]</t>
  </si>
  <si>
    <t>[F' : [U r2 U', L']]</t>
  </si>
  <si>
    <t>[z Rw' U' : [R2, U' r2 U]]</t>
  </si>
  <si>
    <t>[D : [r, U L' U']]</t>
  </si>
  <si>
    <t>[U : [U l U', L']]</t>
  </si>
  <si>
    <t>[z' : [r2, U' L' U]]</t>
  </si>
  <si>
    <t>[r', U L' U']</t>
  </si>
  <si>
    <t>[3Rw' L' : [U' r U, L2]]</t>
  </si>
  <si>
    <t>[U' R' U : [l2, U R U']]</t>
  </si>
  <si>
    <t>[3Lw : [r U r', D2]]</t>
  </si>
  <si>
    <t>[Lw U : [L', U l U']]</t>
  </si>
  <si>
    <t>[Rw D' : [U2, r D' r']]</t>
  </si>
  <si>
    <t>[U' : [U' l2 U, R]]</t>
  </si>
  <si>
    <t>[Lw U' : [D2, r U r']]</t>
  </si>
  <si>
    <t>[U : [L', U l2 U']]</t>
  </si>
  <si>
    <t>[D : [r2, U' R2 U]]</t>
  </si>
  <si>
    <t>[x U' R' U : [r2, U R U']]</t>
  </si>
  <si>
    <t>[Lw U : [L, U l U']]</t>
  </si>
  <si>
    <t>[U'u : [U' l2 U, R]]</t>
  </si>
  <si>
    <t>[y' : [U' l U, R2]]</t>
  </si>
  <si>
    <t>[Rw D' : [U', r D' r']]</t>
  </si>
  <si>
    <t>[Rw U : [R', U l' U']]</t>
  </si>
  <si>
    <t>[Rw U' : [L, U' l' U]]</t>
  </si>
  <si>
    <t>[Rw : [U, r D2 r']]</t>
  </si>
  <si>
    <t>[Uw' : [R, U' l2 U]]</t>
  </si>
  <si>
    <t>[D : [r, U' R2 U]]</t>
  </si>
  <si>
    <t>[Lw : [U2, r' D2 r]]</t>
  </si>
  <si>
    <t>[U' : [R', U' l2 U]]</t>
  </si>
  <si>
    <t>[D : [r', U' R2 U]]</t>
  </si>
  <si>
    <t>[U : [L, U l2 U']]</t>
  </si>
  <si>
    <t>[Rw' U : [R', U r U']]</t>
  </si>
  <si>
    <t>[3Lw : [R2, U r U']]</t>
  </si>
  <si>
    <t>[Rw' U' : [U' R' U, r]]</t>
  </si>
  <si>
    <t>[r : [U2, r D r']]</t>
  </si>
  <si>
    <t>[R', D r2 D']</t>
  </si>
  <si>
    <t>[r, U' R2 U]</t>
  </si>
  <si>
    <t>[D : [U L' U', r2]]</t>
  </si>
  <si>
    <t>[D : [U' R2 U, r2]]</t>
  </si>
  <si>
    <t>[r2, U' R2 U]</t>
  </si>
  <si>
    <t>[R D' : [r2, U' R U]]</t>
  </si>
  <si>
    <t>[R D' : [U' R U, r]]</t>
  </si>
  <si>
    <t>[y' r : [r U r', D2]]</t>
  </si>
  <si>
    <t>[y' : [R', U r2 U']]</t>
  </si>
  <si>
    <t>[z' U' : [U' L' U, r]]</t>
  </si>
  <si>
    <t>[D r : [U' L U, r2]]</t>
  </si>
  <si>
    <t>[r : [U, r D r']]</t>
  </si>
  <si>
    <t>[R : [R U' R', u']]</t>
  </si>
  <si>
    <t>[R D : [r, U' R U]]</t>
  </si>
  <si>
    <t>[U' : [U' l U, R2]]</t>
  </si>
  <si>
    <t>[D r2 D', R]</t>
  </si>
  <si>
    <t>[R' : [r', U' R' U]]</t>
  </si>
  <si>
    <t>[D : [U L U', r2]]</t>
  </si>
  <si>
    <t>[U R' U' : [U' R U, r2]]</t>
  </si>
  <si>
    <t>[R U' R' U, r2]</t>
  </si>
  <si>
    <t>[U' :  [r2, R U' R' U]]</t>
  </si>
  <si>
    <t>[D Rw : [U2, r D' r']]</t>
  </si>
  <si>
    <t>[U' R U, r2]</t>
  </si>
  <si>
    <t>[U' Rw : [U' R' U, r]]</t>
  </si>
  <si>
    <t>[U L' U', r2]</t>
  </si>
  <si>
    <t>[x U' R' U : [U R U', r2]]</t>
  </si>
  <si>
    <t>[U' R2 U, r2]</t>
  </si>
  <si>
    <t>[D' : [r2, U' R2 U]]</t>
  </si>
  <si>
    <t>[r : [U R' U', r2]]</t>
  </si>
  <si>
    <t>[Rw : [U R U', r2]]</t>
  </si>
  <si>
    <t>[r : [U R U', r2]]</t>
  </si>
  <si>
    <t>[Rw : [U R' U', r2]]</t>
  </si>
  <si>
    <t>[r : [U' L U, r2]]</t>
  </si>
  <si>
    <t>[3Lw' : [U' L U, r2]]</t>
  </si>
  <si>
    <t>[r : [U' L' U, r2]]</t>
  </si>
  <si>
    <t>[3Lw' : [U' L' U, r2]]</t>
  </si>
  <si>
    <t>[U Rw : [r U' r', D2]]</t>
  </si>
  <si>
    <t>[U' R' U, r2]</t>
  </si>
  <si>
    <t>[D' R' : [r', U' R' U]]</t>
  </si>
  <si>
    <t>[U L U', r2]</t>
  </si>
  <si>
    <t>[Lw' U : [U l U', L']]</t>
  </si>
  <si>
    <t>[D' : [R U' R' U, r2]]</t>
  </si>
  <si>
    <t>[D' U' : [r2, R U' R' U]]</t>
  </si>
  <si>
    <t>[Rw : [U2, r D' r']]</t>
  </si>
  <si>
    <t>[D' : [U' R U, r2]]</t>
  </si>
  <si>
    <t>[Lw' : [r, U L' U']]</t>
  </si>
  <si>
    <t>[D' r2 D, L]</t>
  </si>
  <si>
    <t>[Lw U : [U l U', L]]</t>
  </si>
  <si>
    <t>[R D' : [U' R U, r2]]</t>
  </si>
  <si>
    <t>[D' : [U' R2 U, r2]]</t>
  </si>
  <si>
    <t>[z U : [U R U', r']]</t>
  </si>
  <si>
    <t>[Rw D' : [U R U', r']]</t>
  </si>
  <si>
    <t>[Rw : [U', r D' r']]</t>
  </si>
  <si>
    <t>[Rw D' : [U R' U', r']]</t>
  </si>
  <si>
    <t>[Rw D' : [U' L U, r']]</t>
  </si>
  <si>
    <t>[z y' : [l', U R' U']]</t>
  </si>
  <si>
    <t>[y' : [R, U' l2 U]]</t>
  </si>
  <si>
    <t>[y Rw : [r U' r', D2]]</t>
  </si>
  <si>
    <t>[U : [U l U', L2]]</t>
  </si>
  <si>
    <t>[D' : [U' R' U, r2]]</t>
  </si>
  <si>
    <t>[Lw : [r', U L U']]</t>
  </si>
  <si>
    <t>[D' r2 D, L']</t>
  </si>
  <si>
    <t>[U : [L' u' L, U2]]</t>
  </si>
  <si>
    <t>[R D' : [U' R' U, r]]</t>
  </si>
  <si>
    <t>[L' u' L, U]</t>
  </si>
  <si>
    <t>[r' U' : [R', U' r2 U]]</t>
  </si>
  <si>
    <t>[u', R U' R']</t>
  </si>
  <si>
    <t>[r : [r, U R' U']]</t>
  </si>
  <si>
    <t>[L' : [L' u' L, U]]</t>
  </si>
  <si>
    <t>[U'u : [R, U' l2 U]]</t>
  </si>
  <si>
    <t>[R D' : [r, U' R U]]</t>
  </si>
  <si>
    <t>[r' : [U R' U', r2]]</t>
  </si>
  <si>
    <t>[z U : [r', U R U']]</t>
  </si>
  <si>
    <t>[R, D' r' D]</t>
  </si>
  <si>
    <t>[x' : [U' r2 U, R2]]</t>
  </si>
  <si>
    <t>[3Lw : [R', U' r2 U]]</t>
  </si>
  <si>
    <t>[Rw' U' : [r2, U' L U]]</t>
  </si>
  <si>
    <t>[r' U : [U R' U', r2]]</t>
  </si>
  <si>
    <t>[z r' : [U R U', r2]]</t>
  </si>
  <si>
    <t>[y U : [l, U R U']]</t>
  </si>
  <si>
    <t>[U'u : [U' l U, R]]</t>
  </si>
  <si>
    <t>[u x' : [R2, U r U']]</t>
  </si>
  <si>
    <t>[U R' U', r]</t>
  </si>
  <si>
    <t>[z : [r', U R U']]</t>
  </si>
  <si>
    <t>[U2, r' D' r]</t>
  </si>
  <si>
    <t>[R' u R, U']</t>
  </si>
  <si>
    <t>[U', r' D' r]</t>
  </si>
  <si>
    <t>[Rw' U' : [R', U' r2 U]]</t>
  </si>
  <si>
    <t>[D' : [U' R U, r]]</t>
  </si>
  <si>
    <t>[Rw : [r, U R U']]</t>
  </si>
  <si>
    <t>[D' : [U L' U', r]]</t>
  </si>
  <si>
    <t>[y' : [R2, U' l U]]</t>
  </si>
  <si>
    <t>[y' r : [D2, r U r']]</t>
  </si>
  <si>
    <t>[Rw' : [U R' U', r2]]</t>
  </si>
  <si>
    <t>[Rw D' : [r', U R U']]</t>
  </si>
  <si>
    <t>[D' r' D, R]</t>
  </si>
  <si>
    <t>[D' r' D, R']</t>
  </si>
  <si>
    <t>[3Lw : [R2, U' r2 U]]</t>
  </si>
  <si>
    <t>[x' U : [U R' U', r2]]</t>
  </si>
  <si>
    <t>[Rw' U : [U R' U', r2]]</t>
  </si>
  <si>
    <t>[y' : [R, U' l U]]</t>
  </si>
  <si>
    <t>[U D' : [r U' r', D2]]</t>
  </si>
  <si>
    <t>[U : [l U l', D]]</t>
  </si>
  <si>
    <t>[D' : [U' R' U, r]]</t>
  </si>
  <si>
    <t>[R : [U R U', r]]</t>
  </si>
  <si>
    <t>[D' : [U L U', r]]</t>
  </si>
  <si>
    <t>[R' : [U2, r' D' r]]</t>
  </si>
  <si>
    <t>[R' D' : [U' R U, r]]</t>
  </si>
  <si>
    <t>[R' : [U', r' D' r]]</t>
  </si>
  <si>
    <t>[Rw2 U' : [R', U' r' U]]</t>
  </si>
  <si>
    <t>[Dw 3Lw R : [R2, U r U']]</t>
  </si>
  <si>
    <t>[r : [r, U R U']]</t>
  </si>
  <si>
    <t>[z : [l', U' R U]]</t>
  </si>
  <si>
    <t>[Rw D' : [r D' r', U']]</t>
  </si>
  <si>
    <t>[y' : [U r2 U', R']]</t>
  </si>
  <si>
    <t>[r' : [U R U', r2]]</t>
  </si>
  <si>
    <t>[Rw : [r D' r', U']]</t>
  </si>
  <si>
    <t>[x' : [R2, U' r2 U]]</t>
  </si>
  <si>
    <t>[R', D' r' D]</t>
  </si>
  <si>
    <t>[3Lw : [R, U' r2 U]]</t>
  </si>
  <si>
    <t>[3Lw U : [U R U', r2]]</t>
  </si>
  <si>
    <t>[r' U : [U R U', r2]]</t>
  </si>
  <si>
    <t>[R' y' : [R, U' l U]]</t>
  </si>
  <si>
    <t>[y' : [U r U', R']]</t>
  </si>
  <si>
    <t>[x' : [r U2 r', D']]</t>
  </si>
  <si>
    <t>[z' : [r, U' L' U]]</t>
  </si>
  <si>
    <t>[U R U', r]</t>
  </si>
  <si>
    <t>[x' : [r U' r', D']]</t>
  </si>
  <si>
    <t>[x' U' : [R, U' r2 U]]</t>
  </si>
  <si>
    <t>[U' Rw U : [U r2 U', R']]</t>
  </si>
  <si>
    <t>[U' : [r', R' U' R U]]</t>
  </si>
  <si>
    <t>[Rw' U' : [R, U' r2 U]]</t>
  </si>
  <si>
    <t>[F : [R, U' r2 U]]</t>
  </si>
  <si>
    <t>[Rw : [r, U R' U']]</t>
  </si>
  <si>
    <t>[z D' : [l', U' R U]]</t>
  </si>
  <si>
    <t>[Rw U : [U l' U', R']]</t>
  </si>
  <si>
    <t>[z' U' : [r, U' L' U]]</t>
  </si>
  <si>
    <t>[Rw' : [U R U', r2]]</t>
  </si>
  <si>
    <t>[Rw D' : [r', U R' U']]</t>
  </si>
  <si>
    <t>[3Lw : [U' r2 U, R']]</t>
  </si>
  <si>
    <t>[3Lw : [U' r2 U, R2]]</t>
  </si>
  <si>
    <t>[3Lw : [U' r2 U, R]]</t>
  </si>
  <si>
    <t>[x' U : [U R U', r2]]</t>
  </si>
  <si>
    <t>[Rw' U : [U R U', r2]]</t>
  </si>
  <si>
    <t>[r' U' : [r2, U' L' U]]</t>
  </si>
  <si>
    <t>[D Rw : [r, U R' U']]</t>
  </si>
  <si>
    <t>[x U : [U l' U', R']]</t>
  </si>
  <si>
    <t>[Rw D : [r', U R' U']]</t>
  </si>
  <si>
    <t>[R U R' U', r]</t>
  </si>
  <si>
    <t>[z D : [r', U R U']]</t>
  </si>
  <si>
    <t>[L' : [l' D' l, U2]]</t>
  </si>
  <si>
    <t>[z' : [U r' U', L']]</t>
  </si>
  <si>
    <t>[Lw' D : [U L U', r]]</t>
  </si>
  <si>
    <t>[Lw' : [U2, r' D r]]</t>
  </si>
  <si>
    <t>[z' U : [U r' U', L']]</t>
  </si>
  <si>
    <t>[r : [r, U' L U]]</t>
  </si>
  <si>
    <t>[z : [l, U' R U]]</t>
  </si>
  <si>
    <t>[Rw U' : [U' l' U, L]]</t>
  </si>
  <si>
    <t>[D r' : [U' L U, r2]]</t>
  </si>
  <si>
    <t>[r' : [U' L U, r2]]</t>
  </si>
  <si>
    <t>[Rw D' : [r', U' L U]]</t>
  </si>
  <si>
    <t>[Rw' U' : [U' L U, r2]]</t>
  </si>
  <si>
    <t>[x' U : [r2, U R' U']]</t>
  </si>
  <si>
    <t>[3Lw U : [r2, U R U']]</t>
  </si>
  <si>
    <t>[x' U : [r2, U R U']]</t>
  </si>
  <si>
    <t>[x' : [U r2 U', L']]</t>
  </si>
  <si>
    <t>[x' : [U r2 U', L2]]</t>
  </si>
  <si>
    <t>[L', D r' D']</t>
  </si>
  <si>
    <t>[3Rw U' : [U' l' U, L]]</t>
  </si>
  <si>
    <t>[z' : [r', U' L' U]]</t>
  </si>
  <si>
    <t>[U' L U, r]</t>
  </si>
  <si>
    <t>[z Rw' : [U2, r' D' r]]</t>
  </si>
  <si>
    <t>[x' U : [L', U r2 U']]</t>
  </si>
  <si>
    <t>[U' : [l', Rw U R' U']]</t>
  </si>
  <si>
    <t>[U' Rw' Lw' U : [R, U r U']]</t>
  </si>
  <si>
    <t>[Rw2 : [U', l D2 l']]</t>
  </si>
  <si>
    <t>[L : [u', R U' R']]</t>
  </si>
  <si>
    <t>[3Lw' : [r, U' L U]]</t>
  </si>
  <si>
    <t>[F' : [L', U r2 U']]</t>
  </si>
  <si>
    <t>[Rw : [r D2 r', U]]</t>
  </si>
  <si>
    <t>[r : [r D r', U]]</t>
  </si>
  <si>
    <t>[3Lw : [U' L' U, r2]]</t>
  </si>
  <si>
    <t>[z y' : [U R' U', l']]</t>
  </si>
  <si>
    <t>[r' U : [r2, U R' U']]</t>
  </si>
  <si>
    <t>[Rw' U : [r2, U R' U']]</t>
  </si>
  <si>
    <t>[r' U : [r2, U R U']]</t>
  </si>
  <si>
    <t>[Rw' U : [r2, U R U']]</t>
  </si>
  <si>
    <t>[x' : [L', U r2 U']]</t>
  </si>
  <si>
    <t>[3Rw' : [U r2 U', L']]</t>
  </si>
  <si>
    <t>[3Rw' : [U r2 U', L2]]</t>
  </si>
  <si>
    <t>[x U' : [L, U' l' U]]</t>
  </si>
  <si>
    <t>[Rw : [r D r', U]]</t>
  </si>
  <si>
    <t>[Lw' U' L U, r]</t>
  </si>
  <si>
    <t>[3Lw' D' : [r', U' L U]]</t>
  </si>
  <si>
    <t>[L : [l' D' l, U2]]</t>
  </si>
  <si>
    <t>[R' u' R, U']</t>
  </si>
  <si>
    <t>[U' : [U', R' u' R]]</t>
  </si>
  <si>
    <t>[Rw' U : [L', U r2 U']]</t>
  </si>
  <si>
    <t>[r : [r, U' L' U]]</t>
  </si>
  <si>
    <t>[z Rw' U' : [U' r2 U, R2]]</t>
  </si>
  <si>
    <t>[Uw' : [U' l2 U, R]]</t>
  </si>
  <si>
    <t>[R : [u', R U' R']]</t>
  </si>
  <si>
    <t>[r' : [U' L' U, r2]]</t>
  </si>
  <si>
    <t>[y' : [U' l2 U, R]]</t>
  </si>
  <si>
    <t>[z r : [U R U', r2]]</t>
  </si>
  <si>
    <t>[y' : [U' l U, R]]</t>
  </si>
  <si>
    <t>[R' y' : [U' l U, R]]</t>
  </si>
  <si>
    <t>[r' U' : [U' L' U, r2]]</t>
  </si>
  <si>
    <t>[x' : [L2, U r2 U']]</t>
  </si>
  <si>
    <t>[3Rw' : [L', U r2 U']]</t>
  </si>
  <si>
    <t>[L, D r' D']</t>
  </si>
  <si>
    <t>[Uw : [U l U', L]]</t>
  </si>
  <si>
    <t>[R' : [R' u' R, U']]</t>
  </si>
  <si>
    <t>[U' L' U, r]</t>
  </si>
  <si>
    <t>[z : [r, U R U']]</t>
  </si>
  <si>
    <t>[U2, r' D r]</t>
  </si>
  <si>
    <t>[U, r' D r]</t>
  </si>
  <si>
    <t>[U', r' D r]</t>
  </si>
  <si>
    <t>[l' : [l' D' l, U2]]</t>
  </si>
  <si>
    <t>[D : [U' R' U, r]]</t>
  </si>
  <si>
    <t>[U' : [D, r U r']]</t>
  </si>
  <si>
    <t>[D : [U L' U', r]]</t>
  </si>
  <si>
    <t>[D : [U' R2 U, r]]</t>
  </si>
  <si>
    <t>[R D : [U' R U, r]]</t>
  </si>
  <si>
    <t>[3Lw : [U' L U, r2]]</t>
  </si>
  <si>
    <t>[y Rw : [D2, r U' r']]</t>
  </si>
  <si>
    <t>[y U : [U R U', l]]</t>
  </si>
  <si>
    <t>[U D : [r U' r', D2]]</t>
  </si>
  <si>
    <t>[y' : [R', U r U']]</t>
  </si>
  <si>
    <t>[D Rw : [U R' U', r]]</t>
  </si>
  <si>
    <t>[D r' D', L']</t>
  </si>
  <si>
    <t>[3Rw' : [L2, U r2 U']]</t>
  </si>
  <si>
    <t>[D r' D', L]</t>
  </si>
  <si>
    <t>[U' : [D', l U' l']]</t>
  </si>
  <si>
    <t>[Lw' : [U' L' U, r]]</t>
  </si>
  <si>
    <t>[D : [U L U', r]]</t>
  </si>
  <si>
    <t>[D' : [U2, r' D' r]]</t>
  </si>
  <si>
    <t>[D : [U, r' D r]]</t>
  </si>
  <si>
    <t>[D : [U', r' D r]]</t>
  </si>
  <si>
    <t>[D' Rw' U' : [R', U' r2 U]]</t>
  </si>
  <si>
    <t>[U' : [R, U' l U]]</t>
  </si>
  <si>
    <t>[U' : [D2, r U r']]</t>
  </si>
  <si>
    <t>[U : [L', U l U']]</t>
  </si>
  <si>
    <t>[Lw : [r' D2 r, U2]]</t>
  </si>
  <si>
    <t>[U' : [R2, U' l U]]</t>
  </si>
  <si>
    <t>[U Rw : [D2, r U' r']]</t>
  </si>
  <si>
    <t>[U : [L2, U l U']]</t>
  </si>
  <si>
    <t>[U'u : [R, U' l U]]</t>
  </si>
  <si>
    <t>[U : [D, l U l']]</t>
  </si>
  <si>
    <t>[x' : [D', r U2 r']]</t>
  </si>
  <si>
    <t>[x U : [R', U l' U']]</t>
  </si>
  <si>
    <t>[3Rw U' : [L, U' l' U]]</t>
  </si>
  <si>
    <t>[x U' : [U' l' U, L]]</t>
  </si>
  <si>
    <t>[U' M : [R' u' R, U]]</t>
  </si>
  <si>
    <t>[U' : [l U' l', D']]</t>
  </si>
  <si>
    <t>[U' : [R', U' l U]]</t>
  </si>
  <si>
    <t>[D' R : [U R U', r]]</t>
  </si>
  <si>
    <t>[U : [L, U l U']]</t>
  </si>
  <si>
    <t>[Lw' U' : [U' l U, R']]</t>
  </si>
  <si>
    <t>[r' : [R', U r U']]</t>
  </si>
  <si>
    <t>[r' U' : [U' R' U, r]]</t>
  </si>
  <si>
    <t>[Rw : [U2, r D r']]</t>
  </si>
  <si>
    <t>[Rw' : [U r U', R2]]</t>
  </si>
  <si>
    <t>[r, U' R' U]</t>
  </si>
  <si>
    <t>[z' : [U' L' U, r2]]</t>
  </si>
  <si>
    <t>[U' : [U' l2 U, R']]</t>
  </si>
  <si>
    <t>[R, D r2 D']</t>
  </si>
  <si>
    <t>[r2, U' R' U]</t>
  </si>
  <si>
    <t>[D' : [r2, U' R' U]]</t>
  </si>
  <si>
    <t>[u x' : [U r U', R2]]</t>
  </si>
  <si>
    <t>[D' : [r, U' R' U]]</t>
  </si>
  <si>
    <t>[z' : [U' L' U, r]]</t>
  </si>
  <si>
    <t>[Rw D : [U R' U', r']]</t>
  </si>
  <si>
    <t>[z' : [U' L' U, r']]</t>
  </si>
  <si>
    <t>[Rw : [U, r D r']]</t>
  </si>
  <si>
    <t>[R' : [U', R' u' R]]</t>
  </si>
  <si>
    <t>[U' : [U' l U, R']]</t>
  </si>
  <si>
    <t>[r', U' R' U]</t>
  </si>
  <si>
    <t>[Rw' U : [r, U L U']]</t>
  </si>
  <si>
    <t>[Lw' D' R : [r, U R U']]</t>
  </si>
  <si>
    <t>[R' U' R U, r']</t>
  </si>
  <si>
    <t>[Lw U L' U', r']</t>
  </si>
  <si>
    <t>[Rw D' : [U2, r D r']]</t>
  </si>
  <si>
    <t>[U' R U, r']</t>
  </si>
  <si>
    <t>[D : [r, U R2 U']]</t>
  </si>
  <si>
    <t>[U L' U', r']</t>
  </si>
  <si>
    <t>[D : [U' R2 U, r']]</t>
  </si>
  <si>
    <t>[R' : [U' R' U, r']]</t>
  </si>
  <si>
    <t>[D' R' : [U' R' U, r']]</t>
  </si>
  <si>
    <t>[Lw : [U L U', r']]</t>
  </si>
  <si>
    <t>[r, U R' U']</t>
  </si>
  <si>
    <t>[R : [r, U R U']]</t>
  </si>
  <si>
    <t>[r, U R U']</t>
  </si>
  <si>
    <t>[r, R U R' U']</t>
  </si>
  <si>
    <t>[r, U' L U]</t>
  </si>
  <si>
    <t>[r, Lw' U' L U]</t>
  </si>
  <si>
    <t>[r, U' L' U]</t>
  </si>
  <si>
    <t>[Lw' : [r, U' L' U]]</t>
  </si>
  <si>
    <t>[D' R : [r, U R U']]</t>
  </si>
  <si>
    <t>[U' R' U, r']</t>
  </si>
  <si>
    <t>[U L U', r']</t>
  </si>
  <si>
    <t>[Rw' U' : [L, U' r U]]</t>
  </si>
  <si>
    <t>[z' : [U' l2 U, L']]</t>
  </si>
  <si>
    <t>[u : [L' u' L, U]]</t>
  </si>
  <si>
    <t>[Lw2 U : [U l U', L']]</t>
  </si>
  <si>
    <t>[z : [U R U', r2]]</t>
  </si>
  <si>
    <t>[r, U L U']</t>
  </si>
  <si>
    <t>[3Rw' L' : [L2, U' r U]]</t>
  </si>
  <si>
    <t>[U : [U l2 U', L]]</t>
  </si>
  <si>
    <t>[D : [r2, U L U']]</t>
  </si>
  <si>
    <t>[r2, U L U']</t>
  </si>
  <si>
    <t>[L', D' r2 D]</t>
  </si>
  <si>
    <t>[z : [U R U', r']]</t>
  </si>
  <si>
    <t>[D' : [r, U L U']]</t>
  </si>
  <si>
    <t>[x' : [D', r U' r']]</t>
  </si>
  <si>
    <t>[z D : [U R U', r']]</t>
  </si>
  <si>
    <t>[z Rw' : [r' D' r, U2]]</t>
  </si>
  <si>
    <t>[3Lw' D' : [U' L U, r']]</t>
  </si>
  <si>
    <t>[z : [U R U', r]]</t>
  </si>
  <si>
    <t>[D : [r, U L U']]</t>
  </si>
  <si>
    <t>[U : [U l U', L]]</t>
  </si>
  <si>
    <t>[Rw' U : [U L U', r]]</t>
  </si>
  <si>
    <t>[r', U L U']</t>
  </si>
  <si>
    <t>PROGRESS (506 TOTAL):</t>
  </si>
  <si>
    <t>[U M2 U' : [M, U2]]</t>
  </si>
  <si>
    <t>[U' M2 U : [M, U2]]</t>
  </si>
  <si>
    <t>[Rw' D' : [U2, M']]</t>
  </si>
  <si>
    <t>[U' M U : [M, U2]]</t>
  </si>
  <si>
    <t>[Lw D : [U2, M']]</t>
  </si>
  <si>
    <t>[U2, M']</t>
  </si>
  <si>
    <t>[D' : [U2, M']]</t>
  </si>
  <si>
    <t>[M, U2]</t>
  </si>
  <si>
    <t>[D : [U2, M']]</t>
  </si>
  <si>
    <t>[Rw : [U2, M' D M]]</t>
  </si>
  <si>
    <t>[U2, M D' M']</t>
  </si>
  <si>
    <t>[Rw' : [M D' M', U2]]</t>
  </si>
  <si>
    <t>[U M U : [M', U2]]</t>
  </si>
  <si>
    <t>[Lw' : [U2, M' D' M]]</t>
  </si>
  <si>
    <t>[U' M U' : [M', U2]]</t>
  </si>
  <si>
    <t>[Lw : [M D M', U2]]</t>
  </si>
  <si>
    <t>[U2, M D M']</t>
  </si>
  <si>
    <t>[U M' U : [M', U2]]</t>
  </si>
  <si>
    <t>[R D' : [U2, M']]</t>
  </si>
  <si>
    <t>[L' D : [U2, M']]</t>
  </si>
  <si>
    <t>[U M2 U : [M, U2]]</t>
  </si>
  <si>
    <t>[M2 U : [M, U2]]</t>
  </si>
  <si>
    <t>[4Lw : [U M' U', R]]</t>
  </si>
  <si>
    <t>[Rw : [M', U' R' U]]</t>
  </si>
  <si>
    <t>[z : [L', U M2 U']]</t>
  </si>
  <si>
    <t>[M D2 M', U]</t>
  </si>
  <si>
    <t>[4Lw : [U M' U', R2]]</t>
  </si>
  <si>
    <t>[R' U R U' : [M, U2]]</t>
  </si>
  <si>
    <t>[R2 D : [M, D2]]</t>
  </si>
  <si>
    <t>[R D' : [M', U' R' U]]</t>
  </si>
  <si>
    <t>[M D' M', U]</t>
  </si>
  <si>
    <t>[z R : [U M' U', R]]</t>
  </si>
  <si>
    <t>[z' : [L', U M U']]</t>
  </si>
  <si>
    <t>[U' Rw : [U R' U', M']]</t>
  </si>
  <si>
    <t>[Lw : [M D M', U]]</t>
  </si>
  <si>
    <t>[M D M', U]</t>
  </si>
  <si>
    <t>[D' : [M D' M', U]]</t>
  </si>
  <si>
    <t>[x' : [R, U M' U']]</t>
  </si>
  <si>
    <t>[Rw' : [M, U' R U]]</t>
  </si>
  <si>
    <t>[z' : [L', U' M2 U]]</t>
  </si>
  <si>
    <t>[U' M2 U' : [M, U2]]</t>
  </si>
  <si>
    <t>[M2 U' : [M, U2]]</t>
  </si>
  <si>
    <t>[z : [R, U' M2 U]]</t>
  </si>
  <si>
    <t>[D : [M D' M', U']]</t>
  </si>
  <si>
    <t>[4Rw' : [U' M' U, L']]</t>
  </si>
  <si>
    <t>[M D2 M', U']</t>
  </si>
  <si>
    <t>[L2 D' : [M, D2]]</t>
  </si>
  <si>
    <t>[U' : [R U' R' U, M2]]</t>
  </si>
  <si>
    <t>[4Rw' : [U' M' U, L2]]</t>
  </si>
  <si>
    <t>[z : [R, U' M U]]</t>
  </si>
  <si>
    <t>[M D' M', U']</t>
  </si>
  <si>
    <t>[Rw' : [M D' M', U']]</t>
  </si>
  <si>
    <t>[U' Rw' : [U' R U, M]]</t>
  </si>
  <si>
    <t>[L' D : [M', U L U']]</t>
  </si>
  <si>
    <t>[z' L' : [U' M' U, L']]</t>
  </si>
  <si>
    <t>[M D M', U']</t>
  </si>
  <si>
    <t>[D' : [M D' M', U']]</t>
  </si>
  <si>
    <t>[z : [R, U M2 U']]</t>
  </si>
  <si>
    <t>[Lw : [M, U L' U']]</t>
  </si>
  <si>
    <t>[x' : [L', U' M' U]]</t>
  </si>
  <si>
    <t>[Rw' D' : [M', U2]]</t>
  </si>
  <si>
    <t>[4Lw : [R, U M' U']]</t>
  </si>
  <si>
    <t>[z : [U' M2 U, R]]</t>
  </si>
  <si>
    <t>[M', U' R U]</t>
  </si>
  <si>
    <t>[z' U' L' U : [M', U2]]</t>
  </si>
  <si>
    <t>[U R U : [M', U2]]</t>
  </si>
  <si>
    <t>[D M2 D', R']</t>
  </si>
  <si>
    <t>[M2, U' R U]</t>
  </si>
  <si>
    <t>[R' D : [M, D2]]</t>
  </si>
  <si>
    <t>[R U' R', E']</t>
  </si>
  <si>
    <t>[D' : [M', U' R U]]</t>
  </si>
  <si>
    <t>[F : [U' M2 U, R]]</t>
  </si>
  <si>
    <t>[z' U : [L', U M U']]</t>
  </si>
  <si>
    <t>[z' D : [U L' U', M']]</t>
  </si>
  <si>
    <t>[R U' R', E]</t>
  </si>
  <si>
    <t>[D : [M', U' R U]]</t>
  </si>
  <si>
    <t>[U' : [U' M U, R]]</t>
  </si>
  <si>
    <t>[x' : [R2, U M' U']]</t>
  </si>
  <si>
    <t>[M, U' R U]</t>
  </si>
  <si>
    <t>[z : [M2, U R U']]</t>
  </si>
  <si>
    <t>[U M U : [M, U2]]</t>
  </si>
  <si>
    <t>[Rw : [U' R' U, M']]</t>
  </si>
  <si>
    <t>[D : [U', M D' M']]</t>
  </si>
  <si>
    <t>[U' R U, M']</t>
  </si>
  <si>
    <t>[U L' U', M']</t>
  </si>
  <si>
    <t>[U' R2 U, M']</t>
  </si>
  <si>
    <t>[U' : [M, D' R2 D]]</t>
  </si>
  <si>
    <t>[U L2 U', M']</t>
  </si>
  <si>
    <t>[M' : [U R' U', M']]</t>
  </si>
  <si>
    <t>[U : [M' U' M, D']]</t>
  </si>
  <si>
    <t>[M' : [U' L' U, M']]</t>
  </si>
  <si>
    <t>[3Rw : [U R' U', M']]</t>
  </si>
  <si>
    <t>[M' : [U' L U, M']]</t>
  </si>
  <si>
    <t>[3Lw' : [U' L U, M']]</t>
  </si>
  <si>
    <t>[U' : [M' U M, D]]</t>
  </si>
  <si>
    <t>[U' : [M' U M, D2]]</t>
  </si>
  <si>
    <t>[U' R' U, M']</t>
  </si>
  <si>
    <t>[D Rw : [U R U', M']]</t>
  </si>
  <si>
    <t>[U L U', M']</t>
  </si>
  <si>
    <t>[Lw D : [M', U2]]</t>
  </si>
  <si>
    <t>[z : [U M2 U', L']]</t>
  </si>
  <si>
    <t>[4Rw' : [L', U' M' U]]</t>
  </si>
  <si>
    <t>[z' U' L' U' : [M', U2]]</t>
  </si>
  <si>
    <t>[M', U L' U']</t>
  </si>
  <si>
    <t>[U' L' U' : [M', U2]]</t>
  </si>
  <si>
    <t>[z' L' U' : [M', U2]]</t>
  </si>
  <si>
    <t>[M2, U L' U']</t>
  </si>
  <si>
    <t>[L, D M2 D']</t>
  </si>
  <si>
    <t>[z U' : [R, U' M U]]</t>
  </si>
  <si>
    <t>[D' : [M', U L' U']]</t>
  </si>
  <si>
    <t>[z : [U' R U, M']]</t>
  </si>
  <si>
    <t>[z D' : [U' R U, M']]</t>
  </si>
  <si>
    <t>[z : [U' R U, M]]</t>
  </si>
  <si>
    <t>[F' : [U M2 U', L']]</t>
  </si>
  <si>
    <t>[D : [M', U L' U']]</t>
  </si>
  <si>
    <t>[U : [U M U', L']]</t>
  </si>
  <si>
    <t>[z' : [M2, U' L' U]]</t>
  </si>
  <si>
    <t>[M, U L' U']</t>
  </si>
  <si>
    <t>[x' : [L2, U' M' U]]</t>
  </si>
  <si>
    <t>[U, M D2 M']</t>
  </si>
  <si>
    <t>[U', M D2 M']</t>
  </si>
  <si>
    <t>[U R U' : [M', U2]]</t>
  </si>
  <si>
    <t>[U' L' U : [M', U2]]</t>
  </si>
  <si>
    <t>[M' U2 M, D']</t>
  </si>
  <si>
    <t>[D2, M]</t>
  </si>
  <si>
    <t>[M' U2 M, D]</t>
  </si>
  <si>
    <t>[B : [M', U2]]</t>
  </si>
  <si>
    <t>[M' D' : [M', U2]]</t>
  </si>
  <si>
    <t>[3Uw' : [U' M2 U, R']]</t>
  </si>
  <si>
    <t>[3Lw U : [D2, M]]</t>
  </si>
  <si>
    <t>[B' : [M', U2]]</t>
  </si>
  <si>
    <t>[3Rw' U' : [D2, M]]</t>
  </si>
  <si>
    <t>[3Uw' : [R, U' M2 U]]</t>
  </si>
  <si>
    <t>[M' D : [M', U2]]</t>
  </si>
  <si>
    <t>[U' : [D R2 D', M']]</t>
  </si>
  <si>
    <t>[U R' U' : [M', U2]]</t>
  </si>
  <si>
    <t>[D : [M, U' R2 U]]</t>
  </si>
  <si>
    <t>[U' L U : [M', U2]]</t>
  </si>
  <si>
    <t>[D' : [M', U2]]</t>
  </si>
  <si>
    <t>[4Lw : [R2, U M' U']]</t>
  </si>
  <si>
    <t>[L2 D : [M, D2]]</t>
  </si>
  <si>
    <t>[R', D M2 D']</t>
  </si>
  <si>
    <t>[M', U' R2 U]</t>
  </si>
  <si>
    <t>[z' L' U : [M', U2]]</t>
  </si>
  <si>
    <t>[D', M' U2 M]</t>
  </si>
  <si>
    <t>[M2, U' R2 U]</t>
  </si>
  <si>
    <t>[D' : [M, D2]]</t>
  </si>
  <si>
    <t>[R D' : [M', U' R U]]</t>
  </si>
  <si>
    <t>[y' : [R', U M2 U']]</t>
  </si>
  <si>
    <t>[z' U' : [U' L' U, M']]</t>
  </si>
  <si>
    <t>[z' 4Lw' U : [M', U2]]</t>
  </si>
  <si>
    <t>[z' D U : [U L' U', M']]</t>
  </si>
  <si>
    <t>[z' U : [U L' U', M']]</t>
  </si>
  <si>
    <t>[x' z : [M, U' L' U]]</t>
  </si>
  <si>
    <t>[U' : [U' M U, R2]]</t>
  </si>
  <si>
    <t>[D M2 D', R]</t>
  </si>
  <si>
    <t>[Rw' : [M, U' R' U]]</t>
  </si>
  <si>
    <t>[L' D : [M, D2]]</t>
  </si>
  <si>
    <t>[R' U R U : [M, U2]]</t>
  </si>
  <si>
    <t>[U' : [M2, R U' R' U]]</t>
  </si>
  <si>
    <t>[U' R U, M2]</t>
  </si>
  <si>
    <t>[U' : [D' R2 D, M]]</t>
  </si>
  <si>
    <t>[U L' U', M2]</t>
  </si>
  <si>
    <t>[M, D2]</t>
  </si>
  <si>
    <t>[U' R2 U, M2]</t>
  </si>
  <si>
    <t>[U L2 U', M2]</t>
  </si>
  <si>
    <t>[M' : [U R2 U', M2]]</t>
  </si>
  <si>
    <t>[3Rw : [U R' U', M2]]</t>
  </si>
  <si>
    <t>[3Lw' : [U' L U, M2]]</t>
  </si>
  <si>
    <t>[[M' : [U' L2 U, M2]]</t>
  </si>
  <si>
    <t>[U' R' U, M2]</t>
  </si>
  <si>
    <t>[D' : [M, U' R2 U]]</t>
  </si>
  <si>
    <t>[U L U', M2]</t>
  </si>
  <si>
    <t>[D : [M', U2]]</t>
  </si>
  <si>
    <t>[R2 D' : [M, D2]]</t>
  </si>
  <si>
    <t>[4Rw' : [L2, U' M' U]]</t>
  </si>
  <si>
    <t>[R' D' : [M, D2]]</t>
  </si>
  <si>
    <t>[M', U L2 U']</t>
  </si>
  <si>
    <t>[D M2 D', L]</t>
  </si>
  <si>
    <t>[D, M' U2 M]</t>
  </si>
  <si>
    <t>[D' : [D2, M]]</t>
  </si>
  <si>
    <t>[M2, U L2 U']</t>
  </si>
  <si>
    <t>[z 4Rw U' : [M', U2]]</t>
  </si>
  <si>
    <t>[x' z' : [M, U R U']]</t>
  </si>
  <si>
    <t>[z U' : [U' R U, M']]</t>
  </si>
  <si>
    <t>[3Rw D' : [M, U R' U']]</t>
  </si>
  <si>
    <t>[L' D : [M', U L' U']]</t>
  </si>
  <si>
    <t>[z U : [U R U', M']]</t>
  </si>
  <si>
    <t>[y' : [U' M2 U, R]]</t>
  </si>
  <si>
    <t>[U : [U M U', L2]]</t>
  </si>
  <si>
    <t>[z R U : [M, U2]]</t>
  </si>
  <si>
    <t>[Lw : [M, U L U']]</t>
  </si>
  <si>
    <t>[D' M2 D, L']</t>
  </si>
  <si>
    <t>[Rw : [M' D M, U2]]</t>
  </si>
  <si>
    <t>[R D' : [U' R' U, M']]</t>
  </si>
  <si>
    <t>[z : [U' M U, R]]</t>
  </si>
  <si>
    <t>[M' : [M', U R' U']]</t>
  </si>
  <si>
    <t>[z U' : [U' M U, R]]</t>
  </si>
  <si>
    <t>[B : [U2, M']]</t>
  </si>
  <si>
    <t>[R D' : [U' R U, M']]</t>
  </si>
  <si>
    <t>[z 4Rw U : [M', U2]]</t>
  </si>
  <si>
    <t>[R, D' M D]</t>
  </si>
  <si>
    <t>[R : [D' M D, R2]]</t>
  </si>
  <si>
    <t>[3Rw' : [U' M2 U, R]]</t>
  </si>
  <si>
    <t>[x' U' : [M', U2]]</t>
  </si>
  <si>
    <t>[4Rw' U' : [M', U2]]</t>
  </si>
  <si>
    <t>[z M : [U R U', M2]]</t>
  </si>
  <si>
    <t>[4Rw D' : [M', D2]]</t>
  </si>
  <si>
    <t>[3Rw U : [U M' U', R2]]</t>
  </si>
  <si>
    <t>[z : [M, U R U']]</t>
  </si>
  <si>
    <t>[M D' M', U2]</t>
  </si>
  <si>
    <t>[U, M D' M']</t>
  </si>
  <si>
    <t>[U', M D' M']</t>
  </si>
  <si>
    <t>[U : [D', M' U' M]]</t>
  </si>
  <si>
    <t>[D' : [U L' U', M']]</t>
  </si>
  <si>
    <t>[M' D' : [U2, M']]</t>
  </si>
  <si>
    <t>[M : [U R2 U', M2]]</t>
  </si>
  <si>
    <t>[x' z' : [U R U', M]]</t>
  </si>
  <si>
    <t>[D' M D, R]</t>
  </si>
  <si>
    <t>[S D' : [M, D2]]</t>
  </si>
  <si>
    <t>[4Lw' D' : [M', D2]]</t>
  </si>
  <si>
    <t>[R' 4Rw' U' : [M', U2]]</t>
  </si>
  <si>
    <t>[y' : [R, U' M U]]</t>
  </si>
  <si>
    <t>[M' D' : [M', D2]]</t>
  </si>
  <si>
    <t>[3Rw U : [U M' U', R]]</t>
  </si>
  <si>
    <t>[Rw : [U R U', M']]</t>
  </si>
  <si>
    <t>[D' : [U L U', M']]</t>
  </si>
  <si>
    <t>[Rw' : [U2, M D' M']]</t>
  </si>
  <si>
    <t>[z R : [R, U M' U']]</t>
  </si>
  <si>
    <t>[Rw' : [U', M D' M']]</t>
  </si>
  <si>
    <t>[M' : [M', U' L' U]]</t>
  </si>
  <si>
    <t>[z : [M', U' R U]]</t>
  </si>
  <si>
    <t>[3Uw' : [R', U' M2 U]]</t>
  </si>
  <si>
    <t>[y' : [U M2 U', R']]</t>
  </si>
  <si>
    <t>[z U' : [M', U' R U]]</t>
  </si>
  <si>
    <t>[R' : [D' M D, R2]]</t>
  </si>
  <si>
    <t>[4Lw : [R, U' M2 U]]</t>
  </si>
  <si>
    <t>[z' M' : [U' L' U, M2]]</t>
  </si>
  <si>
    <t>[R M U' : [M', U2]]</t>
  </si>
  <si>
    <t>[z 3Uw' : [U' M2 U, R']]</t>
  </si>
  <si>
    <t>[y' : [U M' U', R']]</t>
  </si>
  <si>
    <t>[3Rw' U' : [M' U' M, D']]</t>
  </si>
  <si>
    <t>[z' : [M', U' L' U]]</t>
  </si>
  <si>
    <t>[z U : [U M' U', R]]</t>
  </si>
  <si>
    <t>[U M U : [U2, M']]</t>
  </si>
  <si>
    <t>[U' Rw' : [M, U' R U]]</t>
  </si>
  <si>
    <t>[F : [R, U' M2 U]]</t>
  </si>
  <si>
    <t>[3Rw : [M', U R' U']]</t>
  </si>
  <si>
    <t>[z D' : [M', U' R U]]</t>
  </si>
  <si>
    <t>[3Lw U : [M, D2]]</t>
  </si>
  <si>
    <t>[z' U' : [M', U' L' U]]</t>
  </si>
  <si>
    <t>[3Rw : [M2, U R' U']]</t>
  </si>
  <si>
    <t>[3Rw D' : [U R' U', M]]</t>
  </si>
  <si>
    <t>[3Rw' : [R, U' M2 U]]</t>
  </si>
  <si>
    <t>[S D : [M, D2]]</t>
  </si>
  <si>
    <t>[4Lw : [U' M2 U, R]]</t>
  </si>
  <si>
    <t>[4Lw U' : [M', U2]]</t>
  </si>
  <si>
    <t>[L' M U' : [M', U2]]</t>
  </si>
  <si>
    <t>[L 4Lw U' : [M', U2]]</t>
  </si>
  <si>
    <t>[3Rw U : [U M' U', R']]</t>
  </si>
  <si>
    <t>[U 4Rw' U' : [M', U2]]</t>
  </si>
  <si>
    <t>[Rw : [U R' U', M']]</t>
  </si>
  <si>
    <t>[z D : [M, U R U']]</t>
  </si>
  <si>
    <t>[Lw' : [M' D' M, U2]]</t>
  </si>
  <si>
    <t>[z' : [U M U', L']]</t>
  </si>
  <si>
    <t>[L' D : [U L U', M']]</t>
  </si>
  <si>
    <t>[z' U : [U M U', L']]</t>
  </si>
  <si>
    <t>[z : [M, U' R U]]</t>
  </si>
  <si>
    <t>[B' : [U2, M']]</t>
  </si>
  <si>
    <t>[z' 4Lw' U' : [M', U2]]</t>
  </si>
  <si>
    <t>[L' D : [U L' U', M']]</t>
  </si>
  <si>
    <t>[x' U : [M', U2]]</t>
  </si>
  <si>
    <t>[4Lw' D : [M', D2]]</t>
  </si>
  <si>
    <t>[z' M : [U' L' U, M2]]</t>
  </si>
  <si>
    <t>[4Lw U : [M', U2]]</t>
  </si>
  <si>
    <t>[3Lw : [U M2 U', L']]</t>
  </si>
  <si>
    <t>[L' : [D M D', L2]]</t>
  </si>
  <si>
    <t>[L', D M D']</t>
  </si>
  <si>
    <t>[3Lw' U' : [U' M' U, L2]]</t>
  </si>
  <si>
    <t>[z' : [M, U' L' U]]</t>
  </si>
  <si>
    <t>[U' M U' : [U2, M']]</t>
  </si>
  <si>
    <t>[U' Rw : [M', U R' U']]</t>
  </si>
  <si>
    <t>[z' D : [M', U L' U']]</t>
  </si>
  <si>
    <t>[3Lw' : [M', U' L U]]</t>
  </si>
  <si>
    <t>[F' : [L', U M2 U']]</t>
  </si>
  <si>
    <t>[3Rw' U' : [M, D2]]</t>
  </si>
  <si>
    <t>[z' D U : [M', U L' U']]</t>
  </si>
  <si>
    <t>[3Lw' : [M2, U' L U]]</t>
  </si>
  <si>
    <t>[z U : [M', U R U']]</t>
  </si>
  <si>
    <t>[4Rw' U : [M', U2]]</t>
  </si>
  <si>
    <t>[R' 4Rw' U : [M', U2]]</t>
  </si>
  <si>
    <t>[R M U : [M', U2]]</t>
  </si>
  <si>
    <t>[3Lw : [L', U M2 U']]</t>
  </si>
  <si>
    <t>[4Rw' : [U M2 U', L']]</t>
  </si>
  <si>
    <t>[S' D' : [M, D2]]</t>
  </si>
  <si>
    <t>[3Lw' U' : [U' M' U, L]]</t>
  </si>
  <si>
    <t>[z' D' : [M, U' L' U]]</t>
  </si>
  <si>
    <t>[Lw' : [U' L U, M']]</t>
  </si>
  <si>
    <t>[U' 4Lw U : [M', U2]]</t>
  </si>
  <si>
    <t>[Lw : [U2, M D M']]</t>
  </si>
  <si>
    <t>[Lw : [U, M D M']]</t>
  </si>
  <si>
    <t>[z' L' : [L', U' M' U]]</t>
  </si>
  <si>
    <t>[3Uw' : [U' M2 U, R]]</t>
  </si>
  <si>
    <t>[z' U : [M', U L' U']]</t>
  </si>
  <si>
    <t>[M : [U' L' U, M2]]</t>
  </si>
  <si>
    <t>[y' : [R, U' M2 U]]</t>
  </si>
  <si>
    <t>[z M' : [U R U', M2]]</t>
  </si>
  <si>
    <t>[y' : [U' M U, R]]</t>
  </si>
  <si>
    <t>[z 3Uw' : [R', U' M2 U]]</t>
  </si>
  <si>
    <t>[L' M U : [M', U2]]</t>
  </si>
  <si>
    <t>[L : [D M D', L2]]</t>
  </si>
  <si>
    <t>[4Rw' : [L', U M2 U']]</t>
  </si>
  <si>
    <t>[3Lw U : [M' U M, D]]</t>
  </si>
  <si>
    <t>[z' U' : [U' M' U, L']]</t>
  </si>
  <si>
    <t>[z : [M', U R U']]</t>
  </si>
  <si>
    <t>[M D M', U2]</t>
  </si>
  <si>
    <t>[U, M D M']</t>
  </si>
  <si>
    <t>[U', M D M']</t>
  </si>
  <si>
    <t>[D : [U' R U, M']]</t>
  </si>
  <si>
    <t>[U' : [D, M' U M]]</t>
  </si>
  <si>
    <t>[D : [U L' U', M']]</t>
  </si>
  <si>
    <t>[M' D : [U2, M']]</t>
  </si>
  <si>
    <t>[x' z : [U' L' U, M]]</t>
  </si>
  <si>
    <t>[M : [U' L2 U, M2]]</t>
  </si>
  <si>
    <t>[4Rw D : [M', D2]]</t>
  </si>
  <si>
    <t>[M' D : [M', D2]]</t>
  </si>
  <si>
    <t>[y' : [R', U M' U']]</t>
  </si>
  <si>
    <t>[L 4Lw U : [M', U2]]</t>
  </si>
  <si>
    <t>[D M D', L']</t>
  </si>
  <si>
    <t>[S' D : [M, D2]]</t>
  </si>
  <si>
    <t>[U : [D', M U M']]</t>
  </si>
  <si>
    <t>[Lw' : [U' L' U, M']]</t>
  </si>
  <si>
    <t>[D : [U L U', M']]</t>
  </si>
  <si>
    <t>[D' : [U, M D' M']]</t>
  </si>
  <si>
    <t>[D' : [U', M D' M']]</t>
  </si>
  <si>
    <t>[U' : [D2, M' U M]]</t>
  </si>
  <si>
    <t>[U' : [M', D R2 D']]</t>
  </si>
  <si>
    <t>[U' : [R2, U' M U]]</t>
  </si>
  <si>
    <t>[U : [L2, U M U']]</t>
  </si>
  <si>
    <t>[3Rw U : [R2, U M' U']]</t>
  </si>
  <si>
    <t>[3Rw U : [R, U M' U']]</t>
  </si>
  <si>
    <t>[3Rw' U' : [D', M' U' M]]</t>
  </si>
  <si>
    <t>[3Rw U : [R', U M' U']]</t>
  </si>
  <si>
    <t>[3Lw' U' : [L2, U' M' U]]</t>
  </si>
  <si>
    <t>[3Lw' U' : [L, U' M' U]]</t>
  </si>
  <si>
    <t>[3Lw U : [D, M' U M]]</t>
  </si>
  <si>
    <t>[U : [M U M', D']]</t>
  </si>
  <si>
    <t>[D' Rw : [U R U', M']]</t>
  </si>
  <si>
    <t>[U : [L, U M U']]</t>
  </si>
  <si>
    <t>[R D' : [M', U2]]</t>
  </si>
  <si>
    <t>[x' : [U M' U', R]]</t>
  </si>
  <si>
    <t>[z : [U M2 U', R]]</t>
  </si>
  <si>
    <t>[x' : [U M' U', R2]]</t>
  </si>
  <si>
    <t>[z' : [U' L' U, M2]]</t>
  </si>
  <si>
    <t>[U R' U' : [U2, M']]</t>
  </si>
  <si>
    <t>[R, D M2 D']</t>
  </si>
  <si>
    <t>[M2, U' R' U]</t>
  </si>
  <si>
    <t>[z R U' : [M, U2]]</t>
  </si>
  <si>
    <t>[z' : [U' L' U, M']]</t>
  </si>
  <si>
    <t>[U 4Rw' U : [M', U2]]</t>
  </si>
  <si>
    <t>[z' : [U' L' U, M]]</t>
  </si>
  <si>
    <t>[z' D' : [U' L' U, M]]</t>
  </si>
  <si>
    <t>[z' U' : [L', U' M' U]]</t>
  </si>
  <si>
    <t>[D : [M', U' R' U]]</t>
  </si>
  <si>
    <t>[x' M U' : [M, U2]]</t>
  </si>
  <si>
    <t>[Rw' : [U' R U, M]]</t>
  </si>
  <si>
    <t>[Lw : [U L' U', M]]</t>
  </si>
  <si>
    <t>[D Rw : [M', U R U']]</t>
  </si>
  <si>
    <t>[D : [U' R2 U, M]]</t>
  </si>
  <si>
    <t>[Rw' : [U' R' U, M]]</t>
  </si>
  <si>
    <t>[D' : [U' R2 U, M]]</t>
  </si>
  <si>
    <t>[Lw : [U L U', M]]</t>
  </si>
  <si>
    <t>[Rw : [M', U R U']]</t>
  </si>
  <si>
    <t>[Rw : [M', U R' U']]</t>
  </si>
  <si>
    <t>[Lw' : [M', U' L U]]</t>
  </si>
  <si>
    <t>[Lw' : [M', U' L' U]]</t>
  </si>
  <si>
    <t>[D' Rw : [M', U R U']]</t>
  </si>
  <si>
    <t>[L' D : [M', U2]]</t>
  </si>
  <si>
    <t>[z' : [U' M2 U, L']]</t>
  </si>
  <si>
    <t>[x' : [U' M' U, L']]</t>
  </si>
  <si>
    <t>[z : [U R U', M2]]</t>
  </si>
  <si>
    <t>[x' : [U' M' U, L2]]</t>
  </si>
  <si>
    <t>[U' L U : [U2, M']]</t>
  </si>
  <si>
    <t>[L' D' : [M, D2]]</t>
  </si>
  <si>
    <t>[M2, U L U']</t>
  </si>
  <si>
    <t>[L', D' M2 D]</t>
  </si>
  <si>
    <t>[z : [U R U', M]]</t>
  </si>
  <si>
    <t>[D' : [M', U L U']]</t>
  </si>
  <si>
    <t>[z U : [R, U M' U']]</t>
  </si>
  <si>
    <t>[z D : [U R U', M]]</t>
  </si>
  <si>
    <t>[U' 4Lw U' : [M', U2]]</t>
  </si>
  <si>
    <t>[z : [U R U', M']]</t>
  </si>
  <si>
    <t>[D : [M', U L U']]</t>
  </si>
  <si>
    <t>[x' M U : [M, U2]]</t>
  </si>
  <si>
    <t># of x/x' rotations</t>
  </si>
  <si>
    <t># of z/z' rotations</t>
  </si>
  <si>
    <t># of y/y' rotations</t>
  </si>
  <si>
    <t>total w/ rotations</t>
  </si>
  <si>
    <t>B (Ubr)</t>
  </si>
  <si>
    <t>C (Ufr)</t>
  </si>
  <si>
    <t>D (Ufl)</t>
  </si>
  <si>
    <t>E (Ful)</t>
  </si>
  <si>
    <t>F (Fur)</t>
  </si>
  <si>
    <t>G (Fdr)</t>
  </si>
  <si>
    <t>H (Fdl)</t>
  </si>
  <si>
    <t>I (Dfl)</t>
  </si>
  <si>
    <t>J (Dfr)</t>
  </si>
  <si>
    <t>K (Dbr)</t>
  </si>
  <si>
    <t>L (Dbl)</t>
  </si>
  <si>
    <t>M (Rub)</t>
  </si>
  <si>
    <t>N (Rdb)</t>
  </si>
  <si>
    <t>O (Rdf)</t>
  </si>
  <si>
    <t>P (Ruf)</t>
  </si>
  <si>
    <t>Q (Ldb)</t>
  </si>
  <si>
    <t>R (Lub)</t>
  </si>
  <si>
    <t>S (Luf)</t>
  </si>
  <si>
    <t>T (Ldf)</t>
  </si>
  <si>
    <t>U (Bdl)</t>
  </si>
  <si>
    <t>V (Bdr)</t>
  </si>
  <si>
    <t>W (Bur)</t>
  </si>
  <si>
    <t>Y (Bul)</t>
  </si>
  <si>
    <t>[Rw : [l', U r' U']]</t>
  </si>
  <si>
    <t>[Lw' : [U' l U, r]]</t>
  </si>
  <si>
    <t>[x U' : [r', U' l U]]</t>
  </si>
  <si>
    <t>[F Rw : [l', U r' U']]</t>
  </si>
  <si>
    <t>[Rw : [l2, U r' U']]</t>
  </si>
  <si>
    <t>[Lw' : [U' l U, r2]]</t>
  </si>
  <si>
    <t>[Lw D' : [U' l' U, r2]]</t>
  </si>
  <si>
    <t>[Rw' D : [l2, U r U']]</t>
  </si>
  <si>
    <t>[U, r' u r]</t>
  </si>
  <si>
    <t>[U : [U, r' d' r]]</t>
  </si>
  <si>
    <t>[U, r d r']</t>
  </si>
  <si>
    <t>[l u l', U']</t>
  </si>
  <si>
    <t>[U, r d' r']</t>
  </si>
  <si>
    <t>[l u' l', U']</t>
  </si>
  <si>
    <t>[U, r' u' r]</t>
  </si>
  <si>
    <t>[U : [U, r' d r]]</t>
  </si>
  <si>
    <t>[Rw' : [l, U r U']]</t>
  </si>
  <si>
    <t>[Lw : [U' l' U, r']]</t>
  </si>
  <si>
    <t>[x' U' : [r, U' l' U]]</t>
  </si>
  <si>
    <t>[U, r' u2 r]</t>
  </si>
  <si>
    <t>[U2, r u2 r']</t>
  </si>
  <si>
    <t>[Uw : [r' u' r, U2]]</t>
  </si>
  <si>
    <t>[y' U' : [r' d' r, U2]]</t>
  </si>
  <si>
    <t>[Rw' U' : [l', U' r U]]</t>
  </si>
  <si>
    <t>[Rw' F' : [l2, U r U']]</t>
  </si>
  <si>
    <t>[Lw U' : [U' l' U, r2]]</t>
  </si>
  <si>
    <t>[D Rw' U' : [l2, U' r U]]</t>
  </si>
  <si>
    <t>[Rw' U' : [l2, U' r U]]</t>
  </si>
  <si>
    <t>[U : [r' u r, U2]]</t>
  </si>
  <si>
    <t>[U2, r' d' r]</t>
  </si>
  <si>
    <t>[U : [r d r', U2]]</t>
  </si>
  <si>
    <t>[U2, r u' r']</t>
  </si>
  <si>
    <t>[U : [r d' r', U2]]</t>
  </si>
  <si>
    <t>[U2, r u r']</t>
  </si>
  <si>
    <t>[U : [r' u' r, U2]]</t>
  </si>
  <si>
    <t>[U2, r' d r]</t>
  </si>
  <si>
    <t>[U2, r' d2 r]</t>
  </si>
  <si>
    <t>[Lw U' : [U' l' U, r']]</t>
  </si>
  <si>
    <t>[l u2 l', U2]</t>
  </si>
  <si>
    <t>[U : [r' u2 r, U2]]</t>
  </si>
  <si>
    <t>[Uw' : [U', r u' r']]</t>
  </si>
  <si>
    <t>[Uw : [r' u' r, U]]</t>
  </si>
  <si>
    <t>[y' : [U', r' d' r]]</t>
  </si>
  <si>
    <t>[U' x : [U' r' U, l]]</t>
  </si>
  <si>
    <t>[U : [l2, D r2 D']]</t>
  </si>
  <si>
    <t>[U : [D' l2 D, r2]]</t>
  </si>
  <si>
    <t>[U' : [r2, D l2 D']]</t>
  </si>
  <si>
    <t>[U' : [D' r2 D, l2]]</t>
  </si>
  <si>
    <t>[U : [r' u r, U]]</t>
  </si>
  <si>
    <t>[U' : [U', r' d' r]]</t>
  </si>
  <si>
    <t>[U : [r d r', U]]</t>
  </si>
  <si>
    <t>[U' : [U', r u' r']]</t>
  </si>
  <si>
    <t>[U : [r d' r', U]]</t>
  </si>
  <si>
    <t>[U' : [U', r u r']]</t>
  </si>
  <si>
    <t>[U : [r' u' r, U]]</t>
  </si>
  <si>
    <t>[U' : [U', r' d r]]</t>
  </si>
  <si>
    <t>[y' : [U', r' d r]]</t>
  </si>
  <si>
    <t>[U x' : [U' l' U, r]]</t>
  </si>
  <si>
    <t>[l u2 l', U]</t>
  </si>
  <si>
    <t>[Uw : [r' u r, U]]</t>
  </si>
  <si>
    <t>[Rw': [U r U', l']]</t>
  </si>
  <si>
    <t>[r u2 r', U2]</t>
  </si>
  <si>
    <t>[Uw' : [r u' r', U']]</t>
  </si>
  <si>
    <t>[D : [U r2 U', l']]</t>
  </si>
  <si>
    <t>[U r2 U', l']</t>
  </si>
  <si>
    <t>[D' : [U r2 U', l']]</t>
  </si>
  <si>
    <t>[D2 : [U r2 U', l']]</t>
  </si>
  <si>
    <t>[Uw r Uw', l']</t>
  </si>
  <si>
    <t>[R' : [Uw r Uw', l']]</t>
  </si>
  <si>
    <t>[R2 : [Uw r Uw', l']]</t>
  </si>
  <si>
    <t>[Rw : [l', Uw r Uw']]</t>
  </si>
  <si>
    <t>[z : [u, r U r']]</t>
  </si>
  <si>
    <t>[U : [l' U' l, u']]</t>
  </si>
  <si>
    <t>[F : [r U r', u']]</t>
  </si>
  <si>
    <t>[z : [u, r U2 r']]</t>
  </si>
  <si>
    <t>[F : [l, U r U']]</t>
  </si>
  <si>
    <t>[U r' U', l']</t>
  </si>
  <si>
    <t>[u2, r' U2 r]</t>
  </si>
  <si>
    <t>[F : [r U r', u2]]</t>
  </si>
  <si>
    <t>[Lw : [r, U' l' U]]</t>
  </si>
  <si>
    <t>[Uw : [U2, r' u' r]]</t>
  </si>
  <si>
    <t>[Uw : [U, r' u' r]]</t>
  </si>
  <si>
    <t>[l2, U r U']</t>
  </si>
  <si>
    <t>[D' : [l2, U r U']]</t>
  </si>
  <si>
    <t>[D2 : [l2, U r U']]</t>
  </si>
  <si>
    <t>[D : [l2, U r U']]</t>
  </si>
  <si>
    <t>[r U r', u]</t>
  </si>
  <si>
    <t>[R' : [r U r', u]]</t>
  </si>
  <si>
    <t>[R2 : [r U r', u]]</t>
  </si>
  <si>
    <t>[R : [r U r', u]]</t>
  </si>
  <si>
    <t>[Rw : [U, r d' r']]</t>
  </si>
  <si>
    <t>[U : [Uw' l' Uw, r]]</t>
  </si>
  <si>
    <t>[r U r', u']</t>
  </si>
  <si>
    <t>[L' : [r U r', u']]</t>
  </si>
  <si>
    <t>[l, U r U']</t>
  </si>
  <si>
    <t>[x' : [r2, U' l' U]]</t>
  </si>
  <si>
    <t>[x' U' : [r2, U' l' U]]</t>
  </si>
  <si>
    <t>[r U r', u2]</t>
  </si>
  <si>
    <t>[x U' : [U' l U, r']]</t>
  </si>
  <si>
    <t>[y' U : [r' d' r, U2]]</t>
  </si>
  <si>
    <t>[y' : [r' d' r, U']]</t>
  </si>
  <si>
    <t>[D' U' : [l2, U' r U]]</t>
  </si>
  <si>
    <t>[x U' : [U' l U, r]]</t>
  </si>
  <si>
    <t>[U' D : [l2, U' r U]]</t>
  </si>
  <si>
    <t>[U' : [l2, U' r U]]</t>
  </si>
  <si>
    <t>[Uw' : [l, U' r U]]</t>
  </si>
  <si>
    <t>[r U2 r', d']</t>
  </si>
  <si>
    <t>[Rw : [U2, r u' r']]</t>
  </si>
  <si>
    <t>[Rw U : [r' u r, U2]]</t>
  </si>
  <si>
    <t>[Rw U : [r d' r', U2]</t>
  </si>
  <si>
    <t>[Rw : [U2, r u r']]</t>
  </si>
  <si>
    <t>[F' : [r U r', u']]</t>
  </si>
  <si>
    <t>[r U2 r', d]</t>
  </si>
  <si>
    <t>[F' : [l, U r U']]</t>
  </si>
  <si>
    <t>[x' D' : [r2, U' l' U]]</t>
  </si>
  <si>
    <t>[U' x' : [r2, U l' U']]</t>
  </si>
  <si>
    <t>[U' : [l, U' r U]]</t>
  </si>
  <si>
    <t>[x U : [l, U r' U']]</t>
  </si>
  <si>
    <t>[Rw' U' : [U' r U, l']]</t>
  </si>
  <si>
    <t>[U' x : [l, U' r' U]]</t>
  </si>
  <si>
    <t>[F2 : [l2, U r U']]</t>
  </si>
  <si>
    <t>[U' D : [U' r2 U, l']]</t>
  </si>
  <si>
    <t>[U' : [U' r2 U, l']]</t>
  </si>
  <si>
    <t>[D' U' : [U' r2 U, l']]</t>
  </si>
  <si>
    <t>[F : [Uw r Uw', l']]</t>
  </si>
  <si>
    <t>[F' : [r U2 r', d']]</t>
  </si>
  <si>
    <t>[U : [l' U2 l, d']]</t>
  </si>
  <si>
    <t>[Uw' : [U' r' U, l']]</t>
  </si>
  <si>
    <t>[z : [l', Uw r Uw']]</t>
  </si>
  <si>
    <t>[z U' : [l', Uw r Uw']]</t>
  </si>
  <si>
    <t>[F2 : [r U r', u']]</t>
  </si>
  <si>
    <t>[z U : [l', Uw r Uw']]</t>
  </si>
  <si>
    <t>[x' D2 : [U r2 U', l']]</t>
  </si>
  <si>
    <t>[d2, r' U r]</t>
  </si>
  <si>
    <t>[U' : [U' r' U, l']]</t>
  </si>
  <si>
    <t>[F2 : [r U r', u2]]</t>
  </si>
  <si>
    <t>[l2, D r2 D']</t>
  </si>
  <si>
    <t>[Rw' F' : [U r U', l2]]</t>
  </si>
  <si>
    <t>[U : [D r2 D', l2]]</t>
  </si>
  <si>
    <t>[D : [l', U r2 U']]</t>
  </si>
  <si>
    <t>[U r U', l2]</t>
  </si>
  <si>
    <t>[D' U' : [U' r U, l2]]</t>
  </si>
  <si>
    <t>[F2 : [U r U', l2]]</t>
  </si>
  <si>
    <t>[Uw r Uw', l2]</t>
  </si>
  <si>
    <t>[R' : [Uw r Uw', l2]]</t>
  </si>
  <si>
    <t>[R2 : [Uw r Uw', l2]]</t>
  </si>
  <si>
    <t>[R : [Uw r Uw', l2]]</t>
  </si>
  <si>
    <t>[z u : [r U r', u2]]</t>
  </si>
  <si>
    <t>[y' U : [l', U r2 U']]</t>
  </si>
  <si>
    <t>[u' : [U r U', l2]]</t>
  </si>
  <si>
    <t>[z u : [r U2 r', u2]]</t>
  </si>
  <si>
    <t>[D : [l, U r2 U']]</t>
  </si>
  <si>
    <t>[U r' U', l2]</t>
  </si>
  <si>
    <t>[U' D' : [U' r' U, l2]]</t>
  </si>
  <si>
    <t>[D Rw : [r U r', u2]]</t>
  </si>
  <si>
    <t>[D' l2 D, r2]</t>
  </si>
  <si>
    <t>[Lw U' : [r2, U' l' U]]</t>
  </si>
  <si>
    <t>[Lw' : [r2, U' l U]]</t>
  </si>
  <si>
    <t>[l', U r2 U']</t>
  </si>
  <si>
    <t>[D' : [U r U', l2]]</t>
  </si>
  <si>
    <t>[x U' : [r, U' l U]]</t>
  </si>
  <si>
    <t>[U' D : [l', U' r2 U]]</t>
  </si>
  <si>
    <t>[r : [r U r', u]]</t>
  </si>
  <si>
    <t>[R' r : [r U r', u]]</t>
  </si>
  <si>
    <t>[r' : [r' U r, d]]</t>
  </si>
  <si>
    <t>[Rw : [r U r', u]]</t>
  </si>
  <si>
    <t>[y' : [l', U' r2 U]]</t>
  </si>
  <si>
    <t>[U : [Uw' l' Uw, r2]]</t>
  </si>
  <si>
    <t>[r : [r U r', u']]</t>
  </si>
  <si>
    <t>[x z : [r, U l U']]</t>
  </si>
  <si>
    <t>[l, U r2 U']</t>
  </si>
  <si>
    <t>[D' : [U r' U', l2]]</t>
  </si>
  <si>
    <t>[x' U' : [r', U' l' U]]</t>
  </si>
  <si>
    <t>[Rw : [r U r', u2]]</t>
  </si>
  <si>
    <t>[Lw D' : [r2, U' l' U]]</t>
  </si>
  <si>
    <t>[D Rw' U' : [U' r U, l2]]</t>
  </si>
  <si>
    <t>[U' : [D l2 D', r2]]</t>
  </si>
  <si>
    <t>[D' : [l', U r2 U']]</t>
  </si>
  <si>
    <t>[D2 : [U r U', l2]]</t>
  </si>
  <si>
    <t>[U' D : [U' r U, l2]]</t>
  </si>
  <si>
    <t>[U' : [l', U' r2 U]]</t>
  </si>
  <si>
    <t>[Uw' : [l, U' r2 U]]</t>
  </si>
  <si>
    <t>[r : [r U2 r', d']]</t>
  </si>
  <si>
    <t>[R y' : [U' l' U, r2]]</t>
  </si>
  <si>
    <t>[y' : [U' l' U, r2]]</t>
  </si>
  <si>
    <t>[4Uw' : [l', U' r2 U]]</t>
  </si>
  <si>
    <t>[Rw' : [r' U' r, u]]</t>
  </si>
  <si>
    <t>[D' Rw : [r U r', u']]</t>
  </si>
  <si>
    <t>[Rw : [r U2 r', d]]</t>
  </si>
  <si>
    <t>[D' : [l, U r2 U']]</t>
  </si>
  <si>
    <t>[D2 : [U r' U', l2]]</t>
  </si>
  <si>
    <t>[D U' : [U' r' U, l2]]</t>
  </si>
  <si>
    <t>[U' : [l, U' r2 U]]</t>
  </si>
  <si>
    <t>[Rw' D : [U r U', l2]]</t>
  </si>
  <si>
    <t>[Rw' U' : [U' r U, l2]]</t>
  </si>
  <si>
    <t>[U' : [l2, D' r2 D]]</t>
  </si>
  <si>
    <t>[D2 : [l', U r2 U']]</t>
  </si>
  <si>
    <t>[D : [U r U', l2]]</t>
  </si>
  <si>
    <t>[U' : [U' r U, l2]]</t>
  </si>
  <si>
    <t>[D' U' : [l', U' r2 U]]</t>
  </si>
  <si>
    <t>[D : [Uw r Uw', l2]]</t>
  </si>
  <si>
    <t>[y' D U : [l, U r2 U']]</t>
  </si>
  <si>
    <t>[Dw : [U r' U', l2]]</t>
  </si>
  <si>
    <t>[Uw' : [U' r' U, l2]]</t>
  </si>
  <si>
    <t>[U l' : [l' U2 l, d]]</t>
  </si>
  <si>
    <t>[D' Rw' : [r' U2 r, u]]</t>
  </si>
  <si>
    <t>[y U : [U l U', r2]]</t>
  </si>
  <si>
    <t>[4Uw' : [U' r U, l2]]</t>
  </si>
  <si>
    <t>[D2 : [l, U r2 U']]</t>
  </si>
  <si>
    <t>[D : [U r' U', l2]]</t>
  </si>
  <si>
    <t>[U' : [U' r' U, l2]]</t>
  </si>
  <si>
    <t>[D' U' : [l, U' r2 U]]</t>
  </si>
  <si>
    <t>[r' u r, U]</t>
  </si>
  <si>
    <t>[U' : [r' u r, U2]]</t>
  </si>
  <si>
    <t>[U : [U, r' u r]]</t>
  </si>
  <si>
    <t>[l', Uw r Uw']</t>
  </si>
  <si>
    <t>[u, r U r']</t>
  </si>
  <si>
    <t>[Uw' : [U' r U, l]]</t>
  </si>
  <si>
    <t>[F : [l', Uw r Uw']]</t>
  </si>
  <si>
    <t>[l2, Uw r Uw']</t>
  </si>
  <si>
    <t>[r : [u, r U r']]</t>
  </si>
  <si>
    <t>[Uw' : [U' r2 U, l]]</t>
  </si>
  <si>
    <t>[D : [l2, Uw r Uw']]</t>
  </si>
  <si>
    <t>[R' y : [l', U' r' U]]</t>
  </si>
  <si>
    <t>[L u : [r U r', u2]]</t>
  </si>
  <si>
    <t>[u : [r U r', u2]]</t>
  </si>
  <si>
    <t>[y' : [U' r U, l]]</t>
  </si>
  <si>
    <t>[l, Uw r Uw']</t>
  </si>
  <si>
    <t>[r' : [r' u r, U]]</t>
  </si>
  <si>
    <t>[R' : [u', r' U2 r]]</t>
  </si>
  <si>
    <t>[u : [r U r', u]]</t>
  </si>
  <si>
    <t>[U : [r' d' r, U]]</t>
  </si>
  <si>
    <t>[r' d' r, U2]</t>
  </si>
  <si>
    <t>[U' : [r' d' r, U']]</t>
  </si>
  <si>
    <t>[R' : [l', Uw r Uw']]</t>
  </si>
  <si>
    <t>[R' : [u, r U r']]</t>
  </si>
  <si>
    <t>[d', r U2 r']</t>
  </si>
  <si>
    <t>[F' : [d', r U2 r']]</t>
  </si>
  <si>
    <t>[R' : [l2, Uw r Uw']]</t>
  </si>
  <si>
    <t>[R' r : [u, r U r']]</t>
  </si>
  <si>
    <t>[r : [d', r U2 r']]</t>
  </si>
  <si>
    <t>[y' D U : [U r2 U', l]]</t>
  </si>
  <si>
    <t>[R d : [r' U r, d2]]</t>
  </si>
  <si>
    <t>[R2 u' : [r' U2 r, u2]]</t>
  </si>
  <si>
    <t>[y' U : [U r U', l]]</t>
  </si>
  <si>
    <t>[d' : [r U2 r', d2]]</t>
  </si>
  <si>
    <t>[Rw' : [l, Uw r Uw']]</t>
  </si>
  <si>
    <t>[Rw' : [r' u r, U]]</t>
  </si>
  <si>
    <t>[Rw' U' : [r' u r, U2]]</t>
  </si>
  <si>
    <t>[z' Lw : [U', l u' l']]</t>
  </si>
  <si>
    <t>[r d r', U]</t>
  </si>
  <si>
    <t>[U' : [r d r', U2]]</t>
  </si>
  <si>
    <t>[U : [U, r d r']]</t>
  </si>
  <si>
    <t>[R2 : [l', Uw r Uw']]</t>
  </si>
  <si>
    <t>[R2 : [u, r U r']]</t>
  </si>
  <si>
    <t>[Rw : [r u' r', U2]]</t>
  </si>
  <si>
    <t>[U : [d', l' U2 l]]</t>
  </si>
  <si>
    <t>[R2 : [l2, Uw r Uw']]</t>
  </si>
  <si>
    <t>[r' : [d, r' U r]]</t>
  </si>
  <si>
    <t>[R y' : [r2, U' l' U]]</t>
  </si>
  <si>
    <t>[Dw : [l2, U r' U']]</t>
  </si>
  <si>
    <t>[z : [l2, Uw r Uw']]</t>
  </si>
  <si>
    <t>[R u' : [r' U2 r, u2]]</t>
  </si>
  <si>
    <t>[R2 u : [r U r', u2]]</t>
  </si>
  <si>
    <t>[z U : [l2, Uw r Uw']]</t>
  </si>
  <si>
    <t>[R2 : [l, Uw r Uw']]</t>
  </si>
  <si>
    <t>[d, r' U r]</t>
  </si>
  <si>
    <t>[R : [u', r' U2 r]]</t>
  </si>
  <si>
    <t>[z' Lw : [U2, l u' l']]</t>
  </si>
  <si>
    <t>[U', l u l']</t>
  </si>
  <si>
    <t>[r u' r', U2]</t>
  </si>
  <si>
    <t>[U' : [r u' r', U']]</t>
  </si>
  <si>
    <t>[Rw : [Uw r Uw', l']]</t>
  </si>
  <si>
    <t>[R : [u, r U r']]</t>
  </si>
  <si>
    <t>[Rw U' : [r' u r, U2]]</t>
  </si>
  <si>
    <t>[Uw' : [l', U' r' U]]</t>
  </si>
  <si>
    <t>[R : [l2, Uw r Uw']]</t>
  </si>
  <si>
    <t>[Rw : [u, r U r']]</t>
  </si>
  <si>
    <t>[y' : [r2, U' l' U]]</t>
  </si>
  <si>
    <t>[Uw' : [l2, U' r' U]]</t>
  </si>
  <si>
    <t>[y' : [l', U' r' U]]</t>
  </si>
  <si>
    <t>[u' : [r' U2 r, u2]]</t>
  </si>
  <si>
    <t>[R u : [r U r', u2]]</t>
  </si>
  <si>
    <t>[x' z' : [U l' U', r2]]</t>
  </si>
  <si>
    <t>[Rw : [l, Uw r Uw']]</t>
  </si>
  <si>
    <t>[Uw : [r', U' l' U]]</t>
  </si>
  <si>
    <t>[u', r' U2 r]</t>
  </si>
  <si>
    <t>[U' : [l, Uw' r' Uw]]</t>
  </si>
  <si>
    <t>[r d' r', U]</t>
  </si>
  <si>
    <t>[U' : [r d' r', U2]]</t>
  </si>
  <si>
    <t>[U : [U, r d' r']]</t>
  </si>
  <si>
    <t>[z : [r U r', u]]</t>
  </si>
  <si>
    <t>[Rw : [r d' r', U]]</t>
  </si>
  <si>
    <t>[Rw U' : [r d' r', U2]</t>
  </si>
  <si>
    <t>[z : [Uw r Uw', l']]</t>
  </si>
  <si>
    <t>[z u : [u2, r U r']]</t>
  </si>
  <si>
    <t>[y' : [U' r2 U, l']]</t>
  </si>
  <si>
    <t>[4Uw' : [U' r2 U, l']]</t>
  </si>
  <si>
    <t>[U l' : [d, l' U2 l]]</t>
  </si>
  <si>
    <t>[R' y : [U' r' U, l']]</t>
  </si>
  <si>
    <t>[R d' : [r' U r, d2]]</t>
  </si>
  <si>
    <t>[z : [Uw r Uw', l2]]</t>
  </si>
  <si>
    <t>[y' : [U' r' U, l']]</t>
  </si>
  <si>
    <t>[z u : [u, r U r']]</t>
  </si>
  <si>
    <t>[d', r' U r]</t>
  </si>
  <si>
    <t>[L : [u, r' U2 r]]</t>
  </si>
  <si>
    <t>[z R' : [r' U2 r, u']]</t>
  </si>
  <si>
    <t>[U', l u' l']</t>
  </si>
  <si>
    <t>[U' : [r u r', U']]</t>
  </si>
  <si>
    <t>[U : [u', l' U' l]]</t>
  </si>
  <si>
    <t>[U : [r, Uw' l' Uw]]</t>
  </si>
  <si>
    <t>[Rw : [r u r', U2]]</t>
  </si>
  <si>
    <t>[z U' : [Uw r Uw', r]]</t>
  </si>
  <si>
    <t>[y' U : [U r2 U', l']]</t>
  </si>
  <si>
    <t>[U : [r2, Uw' l' Uw]]</t>
  </si>
  <si>
    <t>[Rw' : [u, r' U' r]]</t>
  </si>
  <si>
    <t>[D' Rw' : [u, r' U2 r]]</t>
  </si>
  <si>
    <t>[L u : [u2, r U r']]</t>
  </si>
  <si>
    <t>[R2 u : [r' U2 r, u2]]</t>
  </si>
  <si>
    <t>[R u : [r' U2 r, u2]]</t>
  </si>
  <si>
    <t>[u : [r' U2 r, u2]]</t>
  </si>
  <si>
    <t>[z : [l U2 l', u']]</t>
  </si>
  <si>
    <t>[U : [r', Uw' l' Uw]]</t>
  </si>
  <si>
    <t>[u, r' U2 r]</t>
  </si>
  <si>
    <t>[U x' : [r U2 r', u']]</t>
  </si>
  <si>
    <t>[r' u' r, U]</t>
  </si>
  <si>
    <t>[U' : [r' u' r, U2]]</t>
  </si>
  <si>
    <t>[U : [U, r' u' r]]</t>
  </si>
  <si>
    <t>[F : [u', r U r']]</t>
  </si>
  <si>
    <t>[u', r U r']</t>
  </si>
  <si>
    <t>[F' : [u', r U r']]</t>
  </si>
  <si>
    <t>[F2 : [u', r U r']]</t>
  </si>
  <si>
    <t>[u' : [l2, U r U']]</t>
  </si>
  <si>
    <t>[r : [u', r U r']]</t>
  </si>
  <si>
    <t>[D' Rw : [u', r U r']]</t>
  </si>
  <si>
    <t>[y U : [r2, U l U']]</t>
  </si>
  <si>
    <t>[u : [u2, r U r']]</t>
  </si>
  <si>
    <t>[y' U : [l, U r U']]</t>
  </si>
  <si>
    <t>[R2 u' : [r U r', u2]]</t>
  </si>
  <si>
    <t>[R u' : [r U r', u2]]</t>
  </si>
  <si>
    <t>[z : [l U l', u']]</t>
  </si>
  <si>
    <t>[Rw' : [r' u' r, U]]</t>
  </si>
  <si>
    <t>[Rw' U' : [r' u' r, U2]]</t>
  </si>
  <si>
    <t>[u' : [r U r', u']]</t>
  </si>
  <si>
    <t>[U : [r' d r, U]]</t>
  </si>
  <si>
    <t>[r' d r, U2]</t>
  </si>
  <si>
    <t>[U' : [r' d r, U']]</t>
  </si>
  <si>
    <t>[z : [r U2 r', u]]</t>
  </si>
  <si>
    <t>[L' : [u', r U r']]</t>
  </si>
  <si>
    <t>[d, r U2 r']</t>
  </si>
  <si>
    <t>[z U : [Uw r Uw', l']]</t>
  </si>
  <si>
    <t>[z u : [u2, r U2 r']]</t>
  </si>
  <si>
    <t>[x z : [U l U', r]]</t>
  </si>
  <si>
    <t>[Rw : [d, r U2 r']]</t>
  </si>
  <si>
    <t>[4Uw' : [l2, U' r U]]</t>
  </si>
  <si>
    <t>[y' : [l, U' r U]]</t>
  </si>
  <si>
    <t>[d : [r U2 r', d2]]</t>
  </si>
  <si>
    <t>[z U : [Uw r Uw', l2]]</t>
  </si>
  <si>
    <t>[x' z' : [r2, U l' U']]</t>
  </si>
  <si>
    <t>[y' : [r U' r', d]]</t>
  </si>
  <si>
    <t>[Rw' U : [r' d r, U]]</t>
  </si>
  <si>
    <t>[Rw' : [r' d r, U2]]</t>
  </si>
  <si>
    <t>[z R' : [r' U' r, u']]</t>
  </si>
  <si>
    <t>[3Rw' : [U r U', l]]</t>
  </si>
  <si>
    <t>[r' d2 r, U2]</t>
  </si>
  <si>
    <t>[y' : [r' d r, U']]</t>
  </si>
  <si>
    <t>[F : [U r U', l]]</t>
  </si>
  <si>
    <t>[U r U', l]</t>
  </si>
  <si>
    <t>[F' : [U r U', l]]</t>
  </si>
  <si>
    <t>[x' D2 : [l', U r2 U']]</t>
  </si>
  <si>
    <t>[D : [U r2 U', l]]</t>
  </si>
  <si>
    <t>[U r2 U', l]</t>
  </si>
  <si>
    <t>[D' : [U r2 U', l]]</t>
  </si>
  <si>
    <t>[D2 : [U r2 U', l]]</t>
  </si>
  <si>
    <t>[Uw r Uw', l]</t>
  </si>
  <si>
    <t>[Rw' : [Uw r Uw', l]]</t>
  </si>
  <si>
    <t>[R2 : [Uw r Uw', l]]</t>
  </si>
  <si>
    <t>[Rw : [Uw r Uw', l]]</t>
  </si>
  <si>
    <t>[z u : [r U r', u]]</t>
  </si>
  <si>
    <t>[z : [u', l U2 l']]</t>
  </si>
  <si>
    <t>[z : [u', l U l']]</t>
  </si>
  <si>
    <t>[y' : [d, r U' r']]</t>
  </si>
  <si>
    <t>[Lw : [r', U' l' U]]</t>
  </si>
  <si>
    <t>[Lw U' : [r', U' l' U]]</t>
  </si>
  <si>
    <t>[U x' : [r, U' l' U]]</t>
  </si>
  <si>
    <t>[l', U r' U']</t>
  </si>
  <si>
    <t>[x' : [U' l' U, r2]]</t>
  </si>
  <si>
    <t>[x' D' : [U' l' U, r2]]</t>
  </si>
  <si>
    <t>[r' U r, d2]</t>
  </si>
  <si>
    <t>[l2, U r' U']</t>
  </si>
  <si>
    <t>[D' : [l2, U r' U']]</t>
  </si>
  <si>
    <t>[D2 : [l2, U r' U']]</t>
  </si>
  <si>
    <t>[D : [l2, U r' U']]</t>
  </si>
  <si>
    <t>[r' : [U, r' u r]]</t>
  </si>
  <si>
    <t>[Rw' : [U, r' u r]]</t>
  </si>
  <si>
    <t>[r' U r, d]</t>
  </si>
  <si>
    <t>[Uw : [U' l' U, r']]</t>
  </si>
  <si>
    <t>[r' U r, d']</t>
  </si>
  <si>
    <t>[U : [Uw' l' Uw, r']]</t>
  </si>
  <si>
    <t>[Rw' : [U, r' u' r]]</t>
  </si>
  <si>
    <t>[Rw' U : [U, r' d r]]</t>
  </si>
  <si>
    <t>[x' U' : [U' l' U, r]]</t>
  </si>
  <si>
    <t>[U2, l u2 l']</t>
  </si>
  <si>
    <t>[U, l u2 l']</t>
  </si>
  <si>
    <t>[r' U2 r, u2]</t>
  </si>
  <si>
    <t>[x' U' : [U' l' U, r2]]</t>
  </si>
  <si>
    <t>[U' x' : [U l' U', r2]]</t>
  </si>
  <si>
    <t>[U' : [l', U' r' U]]</t>
  </si>
  <si>
    <t>[U' D' : [l2, U' r' U]]</t>
  </si>
  <si>
    <t>[x' U' : [U' l' U, r']]</t>
  </si>
  <si>
    <t>[D U' : [l2, U' r' U]]</t>
  </si>
  <si>
    <t>[U' : [l2, U' r' U]]</t>
  </si>
  <si>
    <t>[R' : [r' U2 r, u']]</t>
  </si>
  <si>
    <t>[Rw' U : [r' u r, U2]]</t>
  </si>
  <si>
    <t>[R : [r' U2 r, u']]</t>
  </si>
  <si>
    <t>[r' U2 r, u']</t>
  </si>
  <si>
    <t>[L : [r' U2 r, u]]</t>
  </si>
  <si>
    <t>[r' U2 r, u]</t>
  </si>
  <si>
    <t>[Rw' U : [r' u' r, U2]]</t>
  </si>
  <si>
    <t>[Rw' : [U2, r' d r]]</t>
  </si>
  <si>
    <t>[r' u2 r, U]</t>
  </si>
  <si>
    <t>[U' : [r' u2 r, U2]]</t>
  </si>
  <si>
    <t>[Uw : [U, r' u r]]</t>
  </si>
  <si>
    <t>[F : [u2, r U r']]</t>
  </si>
  <si>
    <t>[u2, r U r']</t>
  </si>
  <si>
    <t>[U' : [U' r U, l]]</t>
  </si>
  <si>
    <t>[F2 : [u2, r U r']]</t>
  </si>
  <si>
    <t>[D Rw : [u2, r U r']]</t>
  </si>
  <si>
    <t>[Rw : [u2, r U r']]</t>
  </si>
  <si>
    <t>[U' : [U' r2 U, l]]</t>
  </si>
  <si>
    <t>[D' U' : [U' r2 U, l]]</t>
  </si>
  <si>
    <t>[u : [u, r U r']]</t>
  </si>
  <si>
    <t>[z' Lw : [l u' l', U']]</t>
  </si>
  <si>
    <t>[z' Lw : [l u' l', U2]]</t>
  </si>
  <si>
    <t>[U' : [Uw' r' Uw, l]]</t>
  </si>
  <si>
    <t>[z R' : [u', r' U2 r]]</t>
  </si>
  <si>
    <t>[U x' : [u', r U2 r']]</t>
  </si>
  <si>
    <t>[u' : [u', r U r']]</t>
  </si>
  <si>
    <t>[z R' : [u', r' U' r]]</t>
  </si>
  <si>
    <t>PROGRESS (440 TOTAL)</t>
  </si>
  <si>
    <t>sub-1.0</t>
  </si>
  <si>
    <t>sub-1.5</t>
  </si>
  <si>
    <t>sub-2</t>
  </si>
  <si>
    <t>sub-2.5</t>
  </si>
  <si>
    <t>sub-3</t>
  </si>
  <si>
    <t>BADDDD</t>
  </si>
  <si>
    <t>^^^ REFERRING TO 5X5 TIMES</t>
  </si>
  <si>
    <t>A (Ub)</t>
  </si>
  <si>
    <t>B (Ur)</t>
  </si>
  <si>
    <t>C (Uf)</t>
  </si>
  <si>
    <t>E (Fu)</t>
  </si>
  <si>
    <t>F (Fr)</t>
  </si>
  <si>
    <t>G (Fd)</t>
  </si>
  <si>
    <t>H (Fl)</t>
  </si>
  <si>
    <t>I (Df)</t>
  </si>
  <si>
    <t>J (Dr)</t>
  </si>
  <si>
    <t>K (Db)</t>
  </si>
  <si>
    <t>L (Dl)</t>
  </si>
  <si>
    <t>M (Rb)</t>
  </si>
  <si>
    <t>N (Rd)</t>
  </si>
  <si>
    <t>O (Rf)</t>
  </si>
  <si>
    <t>P (Ru)</t>
  </si>
  <si>
    <t>Q (Lb)</t>
  </si>
  <si>
    <t>R (Lu)</t>
  </si>
  <si>
    <t>S (Lf)</t>
  </si>
  <si>
    <t>T (Ld)</t>
  </si>
  <si>
    <t>U (Bd)</t>
  </si>
  <si>
    <t>V (Br)</t>
  </si>
  <si>
    <t>W (Bu)</t>
  </si>
  <si>
    <t>Y (Bl)</t>
  </si>
  <si>
    <t>[Lw' : [U' l U, M']]</t>
  </si>
  <si>
    <t>[U 3Lw : [U' M U, r]]</t>
  </si>
  <si>
    <t>[U' Lw' : [M', U l U']]</t>
  </si>
  <si>
    <t>[3Rw : [l', U M U']]</t>
  </si>
  <si>
    <t>[Lw : [U' l' U, M2]]</t>
  </si>
  <si>
    <t>[3Rw U : [M, U r U']]</t>
  </si>
  <si>
    <t>[U, M u2 M']</t>
  </si>
  <si>
    <t>[3Rw : [l2, U M U']]</t>
  </si>
  <si>
    <t>[Rw' : [U, M u M']]</t>
  </si>
  <si>
    <t>[U, M' d M]</t>
  </si>
  <si>
    <t>[Rw : [U, M u M']]</t>
  </si>
  <si>
    <t>[U, M u M']</t>
  </si>
  <si>
    <t>[x' z : [r, U' M' U]]</t>
  </si>
  <si>
    <t>[U, M u' M']</t>
  </si>
  <si>
    <t>[x' z U : [U r U', M']]</t>
  </si>
  <si>
    <t>[U, M' d' M]</t>
  </si>
  <si>
    <t>[Lw : [U' l' U, M]]</t>
  </si>
  <si>
    <t>[U 3Lw : [U' M' U, r']]</t>
  </si>
  <si>
    <t>[Lw' U' : [l, U' M U]]</t>
  </si>
  <si>
    <t>[3Lw' : [l, U M' U']]</t>
  </si>
  <si>
    <t>[Rw' U : [M', U r U']]</t>
  </si>
  <si>
    <t>[Rw' U D' : [M2, U r U']]</t>
  </si>
  <si>
    <t>[Rw' U' : [M', U' r U]]</t>
  </si>
  <si>
    <t>[U2, r E2 r']</t>
  </si>
  <si>
    <t>[Rw' U : [M2, U r U']]</t>
  </si>
  <si>
    <t>[U' D' : [M' u2 M, U2]]</t>
  </si>
  <si>
    <t>[Rw' U' : [M2, U' r U]]</t>
  </si>
  <si>
    <t>[U' D : [M' u2 M, U2]]</t>
  </si>
  <si>
    <t>[Rw' Uw : [M', Uw r Uw']]</t>
  </si>
  <si>
    <t>[U' : [M d' M', U2]]</t>
  </si>
  <si>
    <t>[Rw Uw : [M', Uw r' Uw']]</t>
  </si>
  <si>
    <t>[U : [M u M', U2]]</t>
  </si>
  <si>
    <t>[U2, r E' r']</t>
  </si>
  <si>
    <t>[U : [M u' M', U2]]</t>
  </si>
  <si>
    <t>[U2, r' E r]</t>
  </si>
  <si>
    <t>[U' : [M d M', U2]]</t>
  </si>
  <si>
    <t>[Rw' U : [M, U r U']]</t>
  </si>
  <si>
    <t>[Rw U D' : [M2, U r' U']]</t>
  </si>
  <si>
    <t>[Rw' U' : [M, U' r U]]</t>
  </si>
  <si>
    <t>[U2, r' E2 r]</t>
  </si>
  <si>
    <t>[U Lw' : [M', U' l U]]</t>
  </si>
  <si>
    <t>[U' 3Lw' : [U M U', r]]</t>
  </si>
  <si>
    <t>[Lw' : [U l U', M']]</t>
  </si>
  <si>
    <t>[3Rw : [U' M U, l']]</t>
  </si>
  <si>
    <t>[U', M' u2 M]</t>
  </si>
  <si>
    <t>[3Rw U' : [U' r U, M]]</t>
  </si>
  <si>
    <t>[Lw : [U l' U', M2]]</t>
  </si>
  <si>
    <t>[D : [U', M' u2 M]]</t>
  </si>
  <si>
    <t>[Rw : [U', M' u' M]]</t>
  </si>
  <si>
    <t>[U', M d' M']</t>
  </si>
  <si>
    <t>[U', M' u' M]</t>
  </si>
  <si>
    <t>[l E l', U]</t>
  </si>
  <si>
    <t>[U', M' u M]</t>
  </si>
  <si>
    <t>[U2 : [r' E r, U]]</t>
  </si>
  <si>
    <t>[U', M d M']</t>
  </si>
  <si>
    <t>[U Lw : [M, U' l' U]]</t>
  </si>
  <si>
    <t>[U' 3Lw : [U M' U', r']]</t>
  </si>
  <si>
    <t>[Lw : [U l' U', M]]</t>
  </si>
  <si>
    <t>[3Rw' : [l, U' M' U]]</t>
  </si>
  <si>
    <t>[Lw' : [M', U' l U]]</t>
  </si>
  <si>
    <t>[Rw' U : [U r U', M']]</t>
  </si>
  <si>
    <t>[U Lw' : [U' l U, M']]</t>
  </si>
  <si>
    <t>[D' : [l2, U' M' U]]</t>
  </si>
  <si>
    <t>[U : [U r2 U', M']]</t>
  </si>
  <si>
    <t>[D : [l2, U M' U']]</t>
  </si>
  <si>
    <t>[l2, U M' U']</t>
  </si>
  <si>
    <t>[Rw' : [M' U M, u]]</t>
  </si>
  <si>
    <t>[Rw2 : [M' U M, u]]</t>
  </si>
  <si>
    <t>[Rw : [M' U M, u]]</t>
  </si>
  <si>
    <t>[M' U M, u]</t>
  </si>
  <si>
    <t>[3Dw : [l', U M' U']]</t>
  </si>
  <si>
    <t>[M' U M, u']</t>
  </si>
  <si>
    <t>[3Dw' : [l, U M' U']]</t>
  </si>
  <si>
    <t>[z Uw : [Uw r Uw', M']]</t>
  </si>
  <si>
    <t>[F' : [U M U', l']]</t>
  </si>
  <si>
    <t>[U : [U r' U', M']]</t>
  </si>
  <si>
    <t>[M' U M, u2]</t>
  </si>
  <si>
    <t>[l, U M' U']</t>
  </si>
  <si>
    <t>[U 3Lw : [r, U' M U]]</t>
  </si>
  <si>
    <t>[Rw' U D' : [U r U', M2]]</t>
  </si>
  <si>
    <t>[U' 3Lw' : [r, U M U']]</t>
  </si>
  <si>
    <t>[U : [M2, U r U']]</t>
  </si>
  <si>
    <t>[D' U : [M2, U r U']]</t>
  </si>
  <si>
    <t>[U' : [M2, U' r U]]</t>
  </si>
  <si>
    <t>[U D : [M2, U r U']]</t>
  </si>
  <si>
    <t>[R' Uw : [M', Uw r Uw']]</t>
  </si>
  <si>
    <t>[Dw' U' : [M', U' r U]]</t>
  </si>
  <si>
    <t>[3Rw U : [M u M', U2]]</t>
  </si>
  <si>
    <t>[Uw : [M', Uw r Uw']]</t>
  </si>
  <si>
    <t>[Rw : [U2, r E' r']]</t>
  </si>
  <si>
    <t>[U2 : [Uw' M' Uw, r]]</t>
  </si>
  <si>
    <t>[r U2 r', E]</t>
  </si>
  <si>
    <t>[Dw U' : [M', U' r U]]</t>
  </si>
  <si>
    <t>[U : [M, U r U']]</t>
  </si>
  <si>
    <t>[F' U : [U r' U', M']]</t>
  </si>
  <si>
    <t>[U' : [M, U' r U]]</t>
  </si>
  <si>
    <t>[F' : [l, U M' U']]</t>
  </si>
  <si>
    <t>[U' Lw' : [U l U', M']]</t>
  </si>
  <si>
    <t>[Rw' U' : [U' r U, M']]</t>
  </si>
  <si>
    <t>[Lw' : [M', U l U']]</t>
  </si>
  <si>
    <t>[U' : [U' r2 U, M']]</t>
  </si>
  <si>
    <t>[D : [l2, U' M' U]]</t>
  </si>
  <si>
    <t>[l2, U' M' U]</t>
  </si>
  <si>
    <t>[3Uw' : [U l U', M']]</t>
  </si>
  <si>
    <t>[M' U' M, d']</t>
  </si>
  <si>
    <t>[3Rw : [U', M' u' M]]</t>
  </si>
  <si>
    <t>[M' : [U', M' u' M]]</t>
  </si>
  <si>
    <t>[3Uw' : [U l' U', M']]</t>
  </si>
  <si>
    <t>[3Rw : [U, M' u M]]</t>
  </si>
  <si>
    <t>[3Uw' : [U' r U, M']]</t>
  </si>
  <si>
    <t>[M' U' M, d]</t>
  </si>
  <si>
    <t>[F : [U M U', l']]</t>
  </si>
  <si>
    <t>[U' : [U' r' U, M']]</t>
  </si>
  <si>
    <t>[F : [U' M U, l']]</t>
  </si>
  <si>
    <t>[l, U' M' U]</t>
  </si>
  <si>
    <t>[3Rw : [U M U', l']]</t>
  </si>
  <si>
    <t>[3Rw B : [U' M U, l']]</t>
  </si>
  <si>
    <t>[3Rw : [l', U' M U]]</t>
  </si>
  <si>
    <t>[U M2 U', l']</t>
  </si>
  <si>
    <t>[D' : [U M2 U', l']]</t>
  </si>
  <si>
    <t>[U' M2 U, l']</t>
  </si>
  <si>
    <t>[D : [U M2 U', l']]</t>
  </si>
  <si>
    <t>[3Rw' : [Uw M' Uw', l']]</t>
  </si>
  <si>
    <t>[Dw' : [U' M' U, l']]</t>
  </si>
  <si>
    <t>[3Rw : [Uw M' Uw', l']]</t>
  </si>
  <si>
    <t>[Uw M' Uw', l']</t>
  </si>
  <si>
    <t>[Uw' : [l' U l, E]]</t>
  </si>
  <si>
    <t>[u : [U' M U, l']]</t>
  </si>
  <si>
    <t>[z U : [u, M' U M]]</t>
  </si>
  <si>
    <t>[Dw : [U' M' U, l']]</t>
  </si>
  <si>
    <t>[U M U', l']</t>
  </si>
  <si>
    <t>[F U : [U r' U', M']]</t>
  </si>
  <si>
    <t>[U' M U, l']</t>
  </si>
  <si>
    <t>[F : [U' l U, M']]</t>
  </si>
  <si>
    <t>[Lw : [M2, U' l' U]]</t>
  </si>
  <si>
    <t>[Rw' U : [U r U', M2]]</t>
  </si>
  <si>
    <t>[M' u2 M, U']</t>
  </si>
  <si>
    <t>[D' : [l2, U' M' U, l2]]</t>
  </si>
  <si>
    <t>[U : [U r U', M2]]</t>
  </si>
  <si>
    <t>[D' : [U' M' U, l2]]</t>
  </si>
  <si>
    <t>[l', U M2 U']</t>
  </si>
  <si>
    <t>[3Uw : [U r U', M2]]</t>
  </si>
  <si>
    <t>[3Rw2 : [U, M u M']]</t>
  </si>
  <si>
    <t>[3Rw : [M' U M, u]]</t>
  </si>
  <si>
    <t>[M' : [M' U M, u]]</t>
  </si>
  <si>
    <t>[3Uw : [U r' U', M2]]</t>
  </si>
  <si>
    <t>[M' : [M' U M, u']]</t>
  </si>
  <si>
    <t>[3Uw : [U' l U, M2]]</t>
  </si>
  <si>
    <t>[3Rw' : [M U M', d']]</t>
  </si>
  <si>
    <t>[D' : [U M U', l2]]</t>
  </si>
  <si>
    <t>[3Rw U : [U r2 U', M']]</t>
  </si>
  <si>
    <t>[U' D : [M, U' r2 U]]</t>
  </si>
  <si>
    <t>[l, U M2 U']</t>
  </si>
  <si>
    <t>[3Rw U : [U r U', M]]</t>
  </si>
  <si>
    <t>[U D' : [M' u2 M, U2]]</t>
  </si>
  <si>
    <t>[3Rw U' : [M, U' r U]]</t>
  </si>
  <si>
    <t>[U : [M', U r2 U']]</t>
  </si>
  <si>
    <t>[D' U : [U r U', M2]]</t>
  </si>
  <si>
    <t>[U' : [M', U' r2 U]]</t>
  </si>
  <si>
    <t>[D' : [l', U M2 U']]</t>
  </si>
  <si>
    <t>[y : [U r U', M2]]</t>
  </si>
  <si>
    <t>[Rw2 U : [M u M', U2]]</t>
  </si>
  <si>
    <t>[y' : [U' r' U, M2]]</t>
  </si>
  <si>
    <t>[Uw : [M', Uw r2 Uw']]</t>
  </si>
  <si>
    <t>[y : [U r' U', M2]]</t>
  </si>
  <si>
    <t>[D' 3Rw : [M' U M, u']]</t>
  </si>
  <si>
    <t>[y' : [U' r U, M2]]</t>
  </si>
  <si>
    <t>[4Uw' : [M', U' r2 U]]</t>
  </si>
  <si>
    <t>[U : [M, U r2 U']]</t>
  </si>
  <si>
    <t>[U' D : [U' r' U, M2]]</t>
  </si>
  <si>
    <t>[U' : [M, U' r2 U]]</t>
  </si>
  <si>
    <t>[D' : [l, U M2 U']]</t>
  </si>
  <si>
    <t>[M u2 M', U]</t>
  </si>
  <si>
    <t>[Rw' U' : [U' r U, M2]]</t>
  </si>
  <si>
    <t>[Lw : [M2, U l' U']]</t>
  </si>
  <si>
    <t>[D : [U M' U', l2]]</t>
  </si>
  <si>
    <t>[U' : [U' r U, M2]]</t>
  </si>
  <si>
    <t>[D : [U' M' U, l2]]</t>
  </si>
  <si>
    <t>[l', U' M2 U]</t>
  </si>
  <si>
    <t>[3Rw' : [M U' M', u']]</t>
  </si>
  <si>
    <t>[3Rw2 : [U', M' u' M]]</t>
  </si>
  <si>
    <t>[3Uw' : [U' r' U, M2]]</t>
  </si>
  <si>
    <t>[y : [U r2 U', M']]</t>
  </si>
  <si>
    <t>[3Uw' : [U l' U', M2]]</t>
  </si>
  <si>
    <t>[M : [M U' M', u]]</t>
  </si>
  <si>
    <t>[3Uw' : [U' r U, M2]]</t>
  </si>
  <si>
    <t>[y : [M, U r2 U']]</t>
  </si>
  <si>
    <t>[U D' : [M, U r2 U']]</t>
  </si>
  <si>
    <t>[U' : [U' r' U, M2]]</t>
  </si>
  <si>
    <t>[x' : [M, U l' U']]</t>
  </si>
  <si>
    <t>[l, U' M2 U]</t>
  </si>
  <si>
    <t>[3Rw : [U M U', l2]]</t>
  </si>
  <si>
    <t>[U D : [M' u2 M, U2]]</t>
  </si>
  <si>
    <t>[D : [M' u2 M, U']]</t>
  </si>
  <si>
    <t>[U M' U', l2]</t>
  </si>
  <si>
    <t>[U D : [U r U', M2]]</t>
  </si>
  <si>
    <t>[U' M' U, l2]</t>
  </si>
  <si>
    <t>[D : [l', U M2 U']]</t>
  </si>
  <si>
    <t>[R' : [Uw M' Uw', l2]]</t>
  </si>
  <si>
    <t>[d' : [U' M' U, l2]]</t>
  </si>
  <si>
    <t>[3Rw : [Uw M' Uw', l2]]</t>
  </si>
  <si>
    <t>[Uw M' Uw', l2]</t>
  </si>
  <si>
    <t>[z Uw : [M' U' M, u2]]</t>
  </si>
  <si>
    <t>[u' : [U M' U', l2]]</t>
  </si>
  <si>
    <t>[z Uw : [M' U M, u2]]</t>
  </si>
  <si>
    <t>[z u : [M' U M, u2]]</t>
  </si>
  <si>
    <t>[U M U', l2]</t>
  </si>
  <si>
    <t>[U D : [U r' U', M2]]</t>
  </si>
  <si>
    <t>[U' M U, l2]</t>
  </si>
  <si>
    <t>[D : [l, U M2 U']]</t>
  </si>
  <si>
    <t>[U : [r' E' r, U]]</t>
  </si>
  <si>
    <t>[Rw' Uw : [Uw r Uw', M']]</t>
  </si>
  <si>
    <t>[Rw : [M' u' M, U']]</t>
  </si>
  <si>
    <t>[R' : [u, M' U M]]</t>
  </si>
  <si>
    <t>[R' Uw : [Uw r Uw', M']]</t>
  </si>
  <si>
    <t>[3Uw' : [M', U l U']]</t>
  </si>
  <si>
    <t>[3Rw' : [l', Uw M' Uw']]</t>
  </si>
  <si>
    <t>[3Uw : [M2, U r U']]</t>
  </si>
  <si>
    <t>[y : [M2, U r U']]</t>
  </si>
  <si>
    <t>[3Rw' : [u', M U' M']]</t>
  </si>
  <si>
    <t>[R' : [l2, Uw M' Uw']]</t>
  </si>
  <si>
    <t>[R' 3Uw : [U r' U', M']]</t>
  </si>
  <si>
    <t>[R' u : [M' U M, u2]]</t>
  </si>
  <si>
    <t>[3Uw : [r U r', E2]]</t>
  </si>
  <si>
    <t>[y : [M, U r U']]</t>
  </si>
  <si>
    <t>[3Rw' : [M u M', U]]</t>
  </si>
  <si>
    <t>[Rw' U' : [M u M', U2]]</t>
  </si>
  <si>
    <t>[3Rw' : [M' u' M, U']]</t>
  </si>
  <si>
    <t>[3Rw' : [l, Uw M' Uw']]</t>
  </si>
  <si>
    <t>[M' d M, U]</t>
  </si>
  <si>
    <t>[U : [M d' M', U2]]</t>
  </si>
  <si>
    <t>[M d' M', U']</t>
  </si>
  <si>
    <t>[R2 : [u, M' U M]]</t>
  </si>
  <si>
    <t>[R' : [E', r U2 r']]</t>
  </si>
  <si>
    <t>[d', M' U' M]</t>
  </si>
  <si>
    <t>[Dw' : [l', U' M' U]]</t>
  </si>
  <si>
    <t>[3Rw2 : [M u M', U]]</t>
  </si>
  <si>
    <t>[Rw2 U' : [M u M', U2]]</t>
  </si>
  <si>
    <t>[3Rw2 : [M' u' M, U']]</t>
  </si>
  <si>
    <t>[d' : [l2, U' M' U]]</t>
  </si>
  <si>
    <t>[y U : [r', U M' U']]</t>
  </si>
  <si>
    <t>[R2 u : [M' U M', u2]]</t>
  </si>
  <si>
    <t>[y' U' : [r, U' M U]]</t>
  </si>
  <si>
    <t>[z : [l2, Uw M' Uw']]</t>
  </si>
  <si>
    <t>[d, M U M']</t>
  </si>
  <si>
    <t>[Rw' : [r' E' r, U2]]</t>
  </si>
  <si>
    <t>[M : [M d' M', U']]</t>
  </si>
  <si>
    <t>[Dw' : [l, U' M' U]]</t>
  </si>
  <si>
    <t>[Rw : [M u M', U]]</t>
  </si>
  <si>
    <t>[Rw Uw : [Uw r' Uw', M']]</t>
  </si>
  <si>
    <t>[3Rw : [M u M', U]]</t>
  </si>
  <si>
    <t>[3Rw U' : [M u M', U2]]</t>
  </si>
  <si>
    <t>[3Uw' : [M', U' r' U]]</t>
  </si>
  <si>
    <t>[3Rw : [l', Uw M' Uw']]</t>
  </si>
  <si>
    <t>[3Rw : [u, M' U M]]</t>
  </si>
  <si>
    <t>[y' : [M2, U' r' U]]</t>
  </si>
  <si>
    <t>[3Uw' : [M2, U' r' U]]</t>
  </si>
  <si>
    <t>[R : [l2, Uw M' Uw']]</t>
  </si>
  <si>
    <t>[R y : [U r' U', M']]</t>
  </si>
  <si>
    <t>[R u : [M U M', u2]]</t>
  </si>
  <si>
    <t>[R y' : [U' r U, M]]</t>
  </si>
  <si>
    <t>[y' : [M', U' r' U]]</t>
  </si>
  <si>
    <t>[3Uw : [U' l' U, M]]</t>
  </si>
  <si>
    <t>[E, r' U2 r]</t>
  </si>
  <si>
    <t>[R : [u', M U' M']]</t>
  </si>
  <si>
    <t>[R : [l, Uw M' Uw']]</t>
  </si>
  <si>
    <t>[M u M', U]</t>
  </si>
  <si>
    <t>[U' : [M u M', U2]]</t>
  </si>
  <si>
    <t>[M' u' M, U']</t>
  </si>
  <si>
    <t>[u, M' U M]</t>
  </si>
  <si>
    <t>[Uw : [Uw r Uw', M']]</t>
  </si>
  <si>
    <t>[M' : [M' u' M, U']]</t>
  </si>
  <si>
    <t>[l', Uw M' Uw']</t>
  </si>
  <si>
    <t>[M' : [u, M' U M]]</t>
  </si>
  <si>
    <t>[Uw : [Uw r2 Uw', M']]</t>
  </si>
  <si>
    <t>[y : [M', U r2 U']]</t>
  </si>
  <si>
    <t>[l2, Uw M' Uw']</t>
  </si>
  <si>
    <t>[3Uw : [U r' U', M']]</t>
  </si>
  <si>
    <t>[u : [M' U M, u2]]</t>
  </si>
  <si>
    <t>[3Uw' : [U' r U, M]]</t>
  </si>
  <si>
    <t>[z Uw : [Uw r2 Uw', M']]</t>
  </si>
  <si>
    <t>[M : [M u M', U]]</t>
  </si>
  <si>
    <t>[Uw : [U r' U', M']]</t>
  </si>
  <si>
    <t>[u', M U' M']</t>
  </si>
  <si>
    <t>[l, Uw M' Uw']</t>
  </si>
  <si>
    <t>[x' z : [U' M' U, r]]</t>
  </si>
  <si>
    <t>[r E' r', U2]</t>
  </si>
  <si>
    <t>[U, l E l']</t>
  </si>
  <si>
    <t>[L : [u', M' U M]]</t>
  </si>
  <si>
    <t>[Rw : [r E' r', U2]]</t>
  </si>
  <si>
    <t>[3Uw' : [M', U l' U']]</t>
  </si>
  <si>
    <t>[Uw' : [E, l' U l]]</t>
  </si>
  <si>
    <t>[3Uw : [M2, U r' U']]</t>
  </si>
  <si>
    <t>[y : [M2, U r' U']]</t>
  </si>
  <si>
    <t>[3Uw' : [M2, U l' U']]</t>
  </si>
  <si>
    <t>[z Uw : [u2, M' U' M]]</t>
  </si>
  <si>
    <t>[R' 3Uw : [M', U r' U']]</t>
  </si>
  <si>
    <t>[y U : [U M' U', r']]</t>
  </si>
  <si>
    <t>[R y : [M', U r' U']]</t>
  </si>
  <si>
    <t>[3Uw : [M', U r' U']]</t>
  </si>
  <si>
    <t>[3Uw : [M, U r' U']]</t>
  </si>
  <si>
    <t>[E', r' U2 r]</t>
  </si>
  <si>
    <t>[3Dw : [U' M U, l']]</t>
  </si>
  <si>
    <t>[z U : [M U M', u']]</t>
  </si>
  <si>
    <t>[M u' M', U]</t>
  </si>
  <si>
    <t>[U' : [M u' M', U2]]</t>
  </si>
  <si>
    <t>[M' u M, U']</t>
  </si>
  <si>
    <t>[u', M' U M]</t>
  </si>
  <si>
    <t>[u' U : [Uw r Uw', M']]</t>
  </si>
  <si>
    <t>[3Rw : [M' u M, U]]</t>
  </si>
  <si>
    <t>[u : [l', U' M U]]</t>
  </si>
  <si>
    <t>[M' : [u', M' U M]]</t>
  </si>
  <si>
    <t>[D' 3Rw : [u', M' U M]]</t>
  </si>
  <si>
    <t>[M : [u, M U' M']]</t>
  </si>
  <si>
    <t>[u' : [l2, U M' U']]</t>
  </si>
  <si>
    <t>[R' u : [u2, M' U M]]</t>
  </si>
  <si>
    <t>[R2 u' : [M' U M', u2]]</t>
  </si>
  <si>
    <t>[R u' : [M U M', u2]]</t>
  </si>
  <si>
    <t>[u' : [M' U M, u2]]</t>
  </si>
  <si>
    <t>[3Rw' : [M u' M', U]]</t>
  </si>
  <si>
    <t>[U2 : [r', Uw' M' Uw]]</t>
  </si>
  <si>
    <t>[u, M U' M']</t>
  </si>
  <si>
    <t>[z : [M U M', u']]</t>
  </si>
  <si>
    <t>[x' z U : [M', U r U']]</t>
  </si>
  <si>
    <t>[r' E r, U2]</t>
  </si>
  <si>
    <t>[U' : [r' E r, U']]</t>
  </si>
  <si>
    <t>[L' : [u', M' U M]]</t>
  </si>
  <si>
    <t>[E, r U2 r']</t>
  </si>
  <si>
    <t>[3Uw' : [M', U' r U]]</t>
  </si>
  <si>
    <t>[z U : [M' U M, u]]</t>
  </si>
  <si>
    <t>[3Uw : [M2, U' l U]]</t>
  </si>
  <si>
    <t>[y' : [M2, U' r U]]</t>
  </si>
  <si>
    <t>[3Uw' : [M2, U' r U]]</t>
  </si>
  <si>
    <t>[z Uw' : [M' U' M, u2]]</t>
  </si>
  <si>
    <t>[3Uw : [E2, r U r']]</t>
  </si>
  <si>
    <t>[y' U' : [U' M U, r]]</t>
  </si>
  <si>
    <t>[R y' : [M, U' r U]]</t>
  </si>
  <si>
    <t>[3Uw' : [M, U' r U]]</t>
  </si>
  <si>
    <t>[u E' : [U M U', l]]</t>
  </si>
  <si>
    <t>[Rw' : [r' E r, U2]]</t>
  </si>
  <si>
    <t>[L' : [u, M U' M']]</t>
  </si>
  <si>
    <t>[3Uw' : [r U' r', E]]</t>
  </si>
  <si>
    <t>[M' d' M, U]</t>
  </si>
  <si>
    <t>[U : [M d M', U2]]</t>
  </si>
  <si>
    <t>[M d M', U']</t>
  </si>
  <si>
    <t>[z Uw : [M', Uw r Uw']]</t>
  </si>
  <si>
    <t>[Dw U' : [U' r U, M']]</t>
  </si>
  <si>
    <t>[d, M' U' M]</t>
  </si>
  <si>
    <t>[Dw : [l', U' M' U]]</t>
  </si>
  <si>
    <t>[3Rw' : [d', M U M']]</t>
  </si>
  <si>
    <t>[4Uw' : [U' r2 U, M']]</t>
  </si>
  <si>
    <t>[y : [U r2 U', M]]</t>
  </si>
  <si>
    <t>[z u : [u2, M' U M]]</t>
  </si>
  <si>
    <t>[y : [U r U', M]]</t>
  </si>
  <si>
    <t>[z : [Uw M' Uw', l2]]</t>
  </si>
  <si>
    <t>[y' : [U' r' U, M']]</t>
  </si>
  <si>
    <t>[z Uw : [M', Uw r2 Uw']]</t>
  </si>
  <si>
    <t>[d', M U M']</t>
  </si>
  <si>
    <t>[Rw' U : [M d M', U2]]</t>
  </si>
  <si>
    <t>[3Rw' : [M d M', U']]</t>
  </si>
  <si>
    <t>[z : [M U' M', u']]</t>
  </si>
  <si>
    <t>[Lw : [M, U' l' U]]</t>
  </si>
  <si>
    <t>[Rw' U : [U r U', M]]</t>
  </si>
  <si>
    <t>[U Lw : [U' l' U, M]]</t>
  </si>
  <si>
    <t>[F' : [l', U M U']]</t>
  </si>
  <si>
    <t>[U : [U r U', M]]</t>
  </si>
  <si>
    <t>[3Rw : [M' u2 M, U']]</t>
  </si>
  <si>
    <t>[l', U M U']</t>
  </si>
  <si>
    <t>[D' : [l2, U M U']]</t>
  </si>
  <si>
    <t>[U : [U r2 U', M]]</t>
  </si>
  <si>
    <t>[U D' : [U r2 U', M]]</t>
  </si>
  <si>
    <t>[l2, U M U']</t>
  </si>
  <si>
    <t>[3Rw' : [U, M u M']]</t>
  </si>
  <si>
    <t>[M U M', d]</t>
  </si>
  <si>
    <t>[3Uw : [M, U' l' U]]</t>
  </si>
  <si>
    <t>[M : [U, M u M']]</t>
  </si>
  <si>
    <t>[3Uw : [U r' U', M]]</t>
  </si>
  <si>
    <t>[3Rw' : [U, M u' M']]</t>
  </si>
  <si>
    <t>[u E' : [l, U M U']]</t>
  </si>
  <si>
    <t>[M U M', d']</t>
  </si>
  <si>
    <t>[Rw U D' : [U r' U', M2]]</t>
  </si>
  <si>
    <t>[U' 3Lw : [r', U M' U']]</t>
  </si>
  <si>
    <t>[U : [M', U r' U']]</t>
  </si>
  <si>
    <t>[U x' : [U' M' U, r2]]</t>
  </si>
  <si>
    <t>[U' : [M', U' r' U]]</t>
  </si>
  <si>
    <t>[F U : [M', U r' U']]</t>
  </si>
  <si>
    <t>[3Rw U : [M', U r2 U']]</t>
  </si>
  <si>
    <t>[U' D : [M2, U' r' U]]</t>
  </si>
  <si>
    <t>[U' : [M2, U' r' U]]</t>
  </si>
  <si>
    <t>[U D : [M2, U r' U']]</t>
  </si>
  <si>
    <t>[Rw' U : [M u M', U2]]</t>
  </si>
  <si>
    <t>[Rw' : [U2, r' E' r]]</t>
  </si>
  <si>
    <t>[r' U2 r, E]</t>
  </si>
  <si>
    <t>[Uw : [M', U r' U']]</t>
  </si>
  <si>
    <t>[r' U2 r, E']</t>
  </si>
  <si>
    <t>[U2 : [Uw' M' Uw, r']]</t>
  </si>
  <si>
    <t>[Rw' : [U2, r' E r]]</t>
  </si>
  <si>
    <t>[Rw' U' : [M d M', U2]]</t>
  </si>
  <si>
    <t>[Lw' U' : [U' M U, l]]</t>
  </si>
  <si>
    <t>[Rw' U' : [U' r U, M]]</t>
  </si>
  <si>
    <t>[Lw : [M, U l' U']]</t>
  </si>
  <si>
    <t>[u2, M' U M]</t>
  </si>
  <si>
    <t>[U' : [U' r U, M]]</t>
  </si>
  <si>
    <t>[F : [l', U' M U]]</t>
  </si>
  <si>
    <t>[l', U' M U]</t>
  </si>
  <si>
    <t>[U' D : [U' r2 U, M]]</t>
  </si>
  <si>
    <t>[U' : [U' r2 U, M]]</t>
  </si>
  <si>
    <t>[x' : [U l' U', M]]</t>
  </si>
  <si>
    <t>[l2, U' M U]</t>
  </si>
  <si>
    <t>[3Rw' : [U', M' u' M]]</t>
  </si>
  <si>
    <t>[M : [U', M d' M']]</t>
  </si>
  <si>
    <t>[R : [M U' M', u']]</t>
  </si>
  <si>
    <t>[M U' M', u']</t>
  </si>
  <si>
    <t>[3Dw : [l', U' M U]]</t>
  </si>
  <si>
    <t>[M U' M', u]</t>
  </si>
  <si>
    <t>[L' : [M U' M', u]]</t>
  </si>
  <si>
    <t>[3Rw' : [U', M d M']]</t>
  </si>
  <si>
    <t>[3Lw' : [U M' U', l]]</t>
  </si>
  <si>
    <t>[r' E2 r, U2]</t>
  </si>
  <si>
    <t>[x' : [l', U' M' U]]</t>
  </si>
  <si>
    <t>[U M' U', l]</t>
  </si>
  <si>
    <t>[F' : [U M' U', l]]</t>
  </si>
  <si>
    <t>[U' M' U, l]</t>
  </si>
  <si>
    <t>[F : [M', U' l U]]</t>
  </si>
  <si>
    <t>[U M2 U', l]</t>
  </si>
  <si>
    <t>[D' : [U M2 U', l]]</t>
  </si>
  <si>
    <t>[U' M2 U, l]</t>
  </si>
  <si>
    <t>[D : [U M2 U', l]]</t>
  </si>
  <si>
    <t>[3Rw' : [Uw M' Uw', l]]</t>
  </si>
  <si>
    <t>[Dw' : [U' M' U, l]]</t>
  </si>
  <si>
    <t>[R : [Uw M' Uw', l]]</t>
  </si>
  <si>
    <t>[Uw M' Uw', l]</t>
  </si>
  <si>
    <t>[z U : [u', M U M']]</t>
  </si>
  <si>
    <t>[z : [u', M U M']]</t>
  </si>
  <si>
    <t>[3Uw' : [E, r U' r']]</t>
  </si>
  <si>
    <t>[z : [u', M U' M']]</t>
  </si>
  <si>
    <t>doc for alg times: https://docs.google.com/spreadsheets/d/1hTpbE5_gSMeP3w5pgeRPBYGmWP_2bCjdaAqijxdn9R8/edit#gid=331739964</t>
  </si>
  <si>
    <t>C (URF)</t>
  </si>
  <si>
    <t>E (FLU)</t>
  </si>
  <si>
    <t>F (FUR)</t>
  </si>
  <si>
    <t>G (FRD)</t>
  </si>
  <si>
    <t>I (DLF)</t>
  </si>
  <si>
    <t>K (DRB)</t>
  </si>
  <si>
    <t>L (DLB)</t>
  </si>
  <si>
    <t>N (RBD)</t>
  </si>
  <si>
    <t>P (RUF)</t>
  </si>
  <si>
    <t>T (LFD)</t>
  </si>
  <si>
    <t>U (BLD)</t>
  </si>
  <si>
    <t>W (BRU)</t>
  </si>
  <si>
    <t>[l' : [U , R' D2 R]]</t>
  </si>
  <si>
    <t>[R D U : [U, R D' R']]</t>
  </si>
  <si>
    <t>[x: [U R' U', L]] executed as F R' F' r U R U' r'</t>
  </si>
  <si>
    <t>[x : [R', U' L U]] executed as R' F' r U R U' r' F</t>
  </si>
  <si>
    <t>[D' : [U, R D' R']]</t>
  </si>
  <si>
    <t>[r' : [D R' D', L2]] executed as r' [D R' D'] r2 [U R U'] r'</t>
  </si>
  <si>
    <t>[R' U' D' R : [D', R U' R']]</t>
  </si>
  <si>
    <t>[l' : [R' D2 R, U]]</t>
  </si>
  <si>
    <t>[R' D' U' : [R' D R, U']]</t>
  </si>
  <si>
    <t>[l' D' U' : [R D R', U2]]</t>
  </si>
  <si>
    <t>[D U : [R D R', U2]]</t>
  </si>
  <si>
    <t>[D' U : [R D' R', U2]]</t>
  </si>
  <si>
    <t>[D R D' R' : [U2, R' D R]]</t>
  </si>
  <si>
    <t>[R D’ R’ : [U2, R’ D R]]</t>
  </si>
  <si>
    <t>[R' D' U' R : [D, R U' R']]</t>
  </si>
  <si>
    <t>[R' D' U' R' : [U', R' D R]]</t>
  </si>
  <si>
    <t>[U : [R D R’, U2]]</t>
  </si>
  <si>
    <t>[U2, R’ D’ R]</t>
  </si>
  <si>
    <t>[U D' : [R D R', U2]]</t>
  </si>
  <si>
    <t>[D U : [R D' R', U2]]</t>
  </si>
  <si>
    <t>[R' U' D : [R D R', U2]]</t>
  </si>
  <si>
    <t>[R D U : [R D' R', U]]</t>
  </si>
  <si>
    <t>[R' D' U' : [U', R' D R]]</t>
  </si>
  <si>
    <t>[U' D' : [U', R' D R]]</t>
  </si>
  <si>
    <t>[U' D : [U', R' D' R]]</t>
  </si>
  <si>
    <t>[D R' D U : [R D' R', U]]</t>
  </si>
  <si>
    <t>[R' D U : [R D' R', U]]</t>
  </si>
  <si>
    <t>[R U' D' : [U', R' D R]]</t>
  </si>
  <si>
    <t>[D' R D' U' : [U', R' D R]]</t>
  </si>
  <si>
    <t>[U D' : [R D R', U]]</t>
  </si>
  <si>
    <t>[U D : [R D' R', U]]</t>
  </si>
  <si>
    <t>[x: [L, U R' U']] executed as r U R' U' r' F R F'</t>
  </si>
  <si>
    <t>[l' D' U : [R D R', U2]]</t>
  </si>
  <si>
    <t>[U D R U : [D, R' U' R]]</t>
  </si>
  <si>
    <t>[U' D R' U' : [R U R', D']]</t>
  </si>
  <si>
    <t>[l U' D : [R U R', D2]]</t>
  </si>
  <si>
    <t>[z : [U, R' D R]]</t>
  </si>
  <si>
    <t>[U R U D' : [D, R' U' R]]</t>
  </si>
  <si>
    <t>[U D' R U : [D, R' U' R]]</t>
  </si>
  <si>
    <t>[l U D : [R' D' R, U2]]</t>
  </si>
  <si>
    <t>[x : [U' L U, R']] executed as F' r U R' U' r' F R</t>
  </si>
  <si>
    <t>[R U D : [U, R' D' R]]</t>
  </si>
  <si>
    <t>[D' U R' : [R' D R, U']]</t>
  </si>
  <si>
    <t>[R U D' : [U, R' D R]]</t>
  </si>
  <si>
    <t>[U D R' : [R' D R, U']]</t>
  </si>
  <si>
    <t>[D' R U D : [U, R' D' R]]</t>
  </si>
  <si>
    <t>[R B R' U D' : [R D R', U2]]</t>
  </si>
  <si>
    <t>[D U' : [R D R', U2]]</t>
  </si>
  <si>
    <t>[U' D' : [R' D R, U']]</t>
  </si>
  <si>
    <t>[U D R U : [R' U' R, D]]</t>
  </si>
  <si>
    <t>[R D : [U2, R' D' R]]</t>
  </si>
  <si>
    <t>[U R' U D' : [R U' R', D2]]</t>
  </si>
  <si>
    <t>[R U D : [R D R', U2]]</t>
  </si>
  <si>
    <t>[D' R : [D, R U2 R']]</t>
  </si>
  <si>
    <t>[R U : [R D R' , U2]]</t>
  </si>
  <si>
    <t>[R U2 R', D']</t>
  </si>
  <si>
    <t>[U' D' R' : [R' D R, U']]</t>
  </si>
  <si>
    <t>[U' D' R U : [R' D R, U2]]</t>
  </si>
  <si>
    <t>[R U2 R', D2]</t>
  </si>
  <si>
    <t>[D' : [R D' R', U]]</t>
  </si>
  <si>
    <t>[D : [R' D' R, U2]]</t>
  </si>
  <si>
    <t>[D' U' : [R D' R', U2]]</t>
  </si>
  <si>
    <t>[R U D : [R' D' R, U]]</t>
  </si>
  <si>
    <t>[R D : [R' D' R, U2]]</t>
  </si>
  <si>
    <t>[D : [D R D', L2]] execute as rRUD: D [D R D'] r2 [U R' U'] r2 D'</t>
  </si>
  <si>
    <t>[U D' R U' : [R' U R, D']]</t>
  </si>
  <si>
    <t>[R' D : [D, R' U R]]</t>
  </si>
  <si>
    <t>[D2 : [R' U R, D]</t>
  </si>
  <si>
    <t>[U' D' R : [R D' R', U2]]</t>
  </si>
  <si>
    <t>[R' D : [R' D' R, U2]]</t>
  </si>
  <si>
    <t>[r' : [L2, D R' D']] executed as r [U R' U'] r2' [D R D'] r</t>
  </si>
  <si>
    <t>[D R' D U : [U, R D' R']]</t>
  </si>
  <si>
    <t>[U' D R' U' : [D', R U R']]</t>
  </si>
  <si>
    <t>[U R' U D' : [D2, R U' R']]</t>
  </si>
  <si>
    <t>[D' R U D R' : [U', R' D R]]</t>
  </si>
  <si>
    <t>[U R U', L2] execute as rRUD: [U R U'] r2 [D R' D'] r2</t>
  </si>
  <si>
    <t>[L2, D R D'] execute as rRUD: r2 [U R U'] r2 [D R' D']</t>
  </si>
  <si>
    <t>[U D' R' : [U, R' D2 R]]</t>
  </si>
  <si>
    <t>[U R' U', L2] execute as [U R' U'] r2 [D R D'] r2</t>
  </si>
  <si>
    <t>[D R' D U' : [R D' R', U2]]</t>
  </si>
  <si>
    <t>[D R D' R' : [R' D R, U2]]</t>
  </si>
  <si>
    <t>[R' D U : [U, R D' R']]</t>
  </si>
  <si>
    <t>[D' U R' : [U', R' D R]]</t>
  </si>
  <si>
    <t>[R U D R' : [R' D R, U']]</t>
  </si>
  <si>
    <t>[D R U D' : [R' U' R, D2]]</t>
  </si>
  <si>
    <t>[U D' R' : [U2, R' D R]]</t>
  </si>
  <si>
    <t>[R' D R U' : [R D' R', U2]]</t>
  </si>
  <si>
    <t>[L, U R2 U']</t>
  </si>
  <si>
    <t>[R' D U' : [R D' R', U2]]</t>
  </si>
  <si>
    <t>[R U' D' : [R' D R, U']]</t>
  </si>
  <si>
    <t>[x : [D2, R U2 R']]</t>
  </si>
  <si>
    <t>[R U D' : [R' D R, U]]</t>
  </si>
  <si>
    <t>[R U' D : [R D R', U2]]</t>
  </si>
  <si>
    <t>[D' R U D R' : [R' D R, U']]</t>
  </si>
  <si>
    <t>[R U D R' : [R' D R, U]]</t>
  </si>
  <si>
    <t>[R U' D' R' : [R' D R, U']]</t>
  </si>
  <si>
    <t>[R2 U : [R D' R', U2]]</t>
  </si>
  <si>
    <t>[R U D : [R' U' R, D]]</t>
  </si>
  <si>
    <t>[R : [R U2 R', D2]]</t>
  </si>
  <si>
    <t>[D' R' D U' : [R D' R', U2]]</t>
  </si>
  <si>
    <t>[R' U' D' R : [R U' R', D']]</t>
  </si>
  <si>
    <t>[R' D' U' R : [R U' R', D]]</t>
  </si>
  <si>
    <t>[D' R D' U' : [R' D R, U']]</t>
  </si>
  <si>
    <t>[U2 R U' : [R' U R, D]]</t>
  </si>
  <si>
    <t>[U D R' : [U', R' D R]]</t>
  </si>
  <si>
    <t>[D' R : [R U2 R', D]]</t>
  </si>
  <si>
    <t>[D : [L2, D R D']] execute as rRUD: D r2 [U R U'] r2 [D R' D'] D'</t>
  </si>
  <si>
    <t>[R U D R' : [U', R' D R]]</t>
  </si>
  <si>
    <t>[R U D R' : [U, R' D R]]</t>
  </si>
  <si>
    <t>[D' R : [R U2 R', D']]</t>
  </si>
  <si>
    <t>[U R' : [U, R' D2 R]]</t>
  </si>
  <si>
    <t>[R' D' R U' D : [R D R', U2]]</t>
  </si>
  <si>
    <t>[D' R2 U : [R D R', U2]]</t>
  </si>
  <si>
    <t>[U D R' : [U2, R' D R]]</t>
  </si>
  <si>
    <t>[D' R : [R U2 R', D2]]</t>
  </si>
  <si>
    <t>[D' R U' D' R' : [R' D R, U']]</t>
  </si>
  <si>
    <t>[U2 R : [U2, R D' R']]</t>
  </si>
  <si>
    <t>[R' D' U' R' : [R' D R, U']]</t>
  </si>
  <si>
    <t>[U D' R U' : [D', R' U R]]</t>
  </si>
  <si>
    <t>[L2, U R U'] execute as rRUD: r2 [D R D'] r2 [U R' U']</t>
  </si>
  <si>
    <t>[D' R : [D', R U2 R']]</t>
  </si>
  <si>
    <t>[U R' U' D : [R D R', U2]</t>
  </si>
  <si>
    <t>[R' U' R' : [U', R' D R]]</t>
  </si>
  <si>
    <t>[L, U R U']</t>
  </si>
  <si>
    <t>[U D R U' : [D', R' U R]]</t>
  </si>
  <si>
    <t>[R' F R : [R D R', U]]</t>
  </si>
  <si>
    <t>[D', R U2 R']</t>
  </si>
  <si>
    <t>[D R U D : [R' U' R, D2]]</t>
  </si>
  <si>
    <t>[U R' : [R' D2 R, U]]</t>
  </si>
  <si>
    <t>[R' : [U' L' U, R']]</t>
  </si>
  <si>
    <t>[R D : [D2, R' U R]]</t>
  </si>
  <si>
    <t>[U' D' : [R U' R', D2]]</t>
  </si>
  <si>
    <t>[D' : [R U2 R', D']]</t>
  </si>
  <si>
    <t>[R2 U' D' R' : [U', R' D R]]</t>
  </si>
  <si>
    <t>[U' R U, L]</t>
  </si>
  <si>
    <t>[D' R U D : [R' D' R, U]]</t>
  </si>
  <si>
    <t>[D R D', L2] execute as rRUD: [D R D'] r2 [U R' U'] r2</t>
  </si>
  <si>
    <t>[R' D' R U D : [R D R', U2]]</t>
  </si>
  <si>
    <t>[R2 : [U' L' U, R]]</t>
  </si>
  <si>
    <t>[R2 : [U' L' U, R']]</t>
  </si>
  <si>
    <t>[R U' D R' : [U', R' D R]]</t>
  </si>
  <si>
    <t>[U' D' R' : [U', R' D R]]</t>
  </si>
  <si>
    <t>[R' D : [R' U R, D]]</t>
  </si>
  <si>
    <t>[D' R2 U' : [R D R', U2]]</t>
  </si>
  <si>
    <t>[R : [U' L' U, R]]</t>
  </si>
  <si>
    <t>[R U R' D U : [R D R', U2]]</t>
  </si>
  <si>
    <t>[U' D R' : [U', R' D R]]</t>
  </si>
  <si>
    <t>[U : [U', R D' R']]</t>
  </si>
  <si>
    <t>[D' : [R' U R, D']</t>
  </si>
  <si>
    <t>[R D' : [D2, R' U R]]</t>
  </si>
  <si>
    <t>[R D' R' D' : [U, R D R']]</t>
  </si>
  <si>
    <t>[U' D' R U' : [R' D R, U2]]</t>
  </si>
  <si>
    <t>[U' D' R : [U2, R D' R']]</t>
  </si>
  <si>
    <t>[U D' R' : [R' D R, U2]]</t>
  </si>
  <si>
    <t>[U D R' : [R' D R, U2]]</t>
  </si>
  <si>
    <t>[U R' U D : [R D R', U2]]</t>
  </si>
  <si>
    <t>[R U R' D U' : [R D R', U2]]</t>
  </si>
  <si>
    <t>[U' D' R U' : [R' D' R, U2]]</t>
  </si>
  <si>
    <t>[U' D R : [U2, R D' R']]</t>
  </si>
  <si>
    <t>[R2' D' U' R U' : [R' D R, U2]]</t>
  </si>
  <si>
    <t>[R' D R U : [R D' R', U2]]</t>
  </si>
  <si>
    <t>[R U D : [D, R' U' R]]</t>
  </si>
  <si>
    <t>[D' R : [D2, R U2 R']]</t>
  </si>
  <si>
    <t>[R' U' R' : [R' D R, U']]</t>
  </si>
  <si>
    <t>[R D' R' D' : [R D R', U]]</t>
  </si>
  <si>
    <t>[D U' : [R U' R', D]]</t>
  </si>
  <si>
    <t>[U' D' : [R D R', U2]]</t>
  </si>
  <si>
    <t>[U D' : [U, R D R']]</t>
  </si>
  <si>
    <t>[U D' R U : [R' U' R, D]]</t>
  </si>
  <si>
    <t>[D2, R U2 R']</t>
  </si>
  <si>
    <t>[U D' R' : [R' D2 R, U]]</t>
  </si>
  <si>
    <t>[U R2 U', L]</t>
  </si>
  <si>
    <t>[R : [D2, R U2 R']]</t>
  </si>
  <si>
    <t>[U R U', L]</t>
  </si>
  <si>
    <t>[D2 : [R U2 R', D]]</t>
  </si>
  <si>
    <t>[R U' D R' : [R' D R, U']]</t>
  </si>
  <si>
    <t>[U' D R' : [R' D R, U']]</t>
  </si>
  <si>
    <t>[U' D' R U : [R' D' R, U2]]</t>
  </si>
  <si>
    <t>[D U' : [D, R U' R']]</t>
  </si>
  <si>
    <t>[R' D' : [R D R', U]]</t>
  </si>
  <si>
    <t>[R' U' D' : [R D R', U2]]</t>
  </si>
  <si>
    <t>[D U' : [R D' R', U2]]</t>
  </si>
  <si>
    <t>[U D : [U, R D' R']]</t>
  </si>
  <si>
    <t>[L2, U R' U'] execute as r2 [D R' D'] r2 [U R U']</t>
  </si>
  <si>
    <t>[D' R U' D' R' : [U', R' D R]]</t>
  </si>
  <si>
    <t>[U D R U' : [R' U R, D']]</t>
  </si>
  <si>
    <t>[U' D R : [R D' R', U2]]</t>
  </si>
  <si>
    <t>[R' D' : [U, R D R']]</t>
  </si>
  <si>
    <t>[R' U D : [R D R', U2]]</t>
  </si>
  <si>
    <t>[l U' D : [R' D' R, U2]]</t>
  </si>
  <si>
    <t>[R B R' U' D' : [R D R', U2]]</t>
  </si>
  <si>
    <t>[R' D : [U2, R' D' R]]</t>
  </si>
  <si>
    <t>[D R' D U : [R D' R', U2]]</t>
  </si>
  <si>
    <t>[R' D U : [R D' R', U2]]</t>
  </si>
  <si>
    <t>[D' R' D U : [R D' R', U2]]</t>
  </si>
  <si>
    <t>[U2 R : [R D' R', U2]]</t>
  </si>
  <si>
    <t>[R2 U' D' R' : [R' D R, U']]</t>
  </si>
  <si>
    <t>[R2' D' U' R U : [R' D R, U2]]</t>
  </si>
  <si>
    <t>[R' U D' : [R D R', U2]]</t>
  </si>
  <si>
    <t>UBR</t>
  </si>
  <si>
    <t>UFR</t>
  </si>
  <si>
    <t>UFL</t>
  </si>
  <si>
    <t>DFL</t>
  </si>
  <si>
    <t>DFR</t>
  </si>
  <si>
    <t>DBR</t>
  </si>
  <si>
    <t>DBL</t>
  </si>
  <si>
    <t>M (UBR CW)</t>
  </si>
  <si>
    <t>F (UFR CW)</t>
  </si>
  <si>
    <t>S (UFL CW)</t>
  </si>
  <si>
    <t>H (DFL CW)</t>
  </si>
  <si>
    <t>O (DFR CW)</t>
  </si>
  <si>
    <t>V (DBR CW)</t>
  </si>
  <si>
    <t>U (DBL CW)</t>
  </si>
  <si>
    <t>[U, R D R' D' R D R']</t>
  </si>
  <si>
    <t>[R : [R D R' D' R D R', U]]</t>
  </si>
  <si>
    <t>[U : [U, R D R' D' R D R']]</t>
  </si>
  <si>
    <t>[U : [R' D R, U]] [U D : [U, R' D' R]]</t>
  </si>
  <si>
    <t>[D' U : [R' D R, U]] [U : [U, R' D' R]]</t>
  </si>
  <si>
    <t>[R D R', U] [D : [U, R D' R']]</t>
  </si>
  <si>
    <t>[R D' R', U] [D' : [U, R D R']]</t>
  </si>
  <si>
    <t>Explanation:</t>
  </si>
  <si>
    <t>Gen'ed</t>
  </si>
  <si>
    <t>Just R to UBR CW</t>
  </si>
  <si>
    <t>U to W alg</t>
  </si>
  <si>
    <t>UBL LDF UBR (TB) + UBL UBR FDL (BH)</t>
  </si>
  <si>
    <t>UBL FDR UBR (GB) + UBL UBR RDF (BO)</t>
  </si>
  <si>
    <t>UBL RDB UBR (NB) + UBL UBR BDR (BV)</t>
  </si>
  <si>
    <t>UBL LDB UBR (QB) + UBL UBR BDR (BU)</t>
  </si>
  <si>
    <t>W (UBR CCW)</t>
  </si>
  <si>
    <t>P (UFR CCW)</t>
  </si>
  <si>
    <t>E (UFL CCW)</t>
  </si>
  <si>
    <t>T (DFL CCW)</t>
  </si>
  <si>
    <t>G (DFR CCW)</t>
  </si>
  <si>
    <t>N (DBR CCW)</t>
  </si>
  <si>
    <t>Q (DBL CCW)</t>
  </si>
  <si>
    <t>[R D R' D' R D R', U]</t>
  </si>
  <si>
    <t>[R : [U, R D R' D' R D R']]</t>
  </si>
  <si>
    <t>R U R' U R U2' R' L' U' L U' L' U2 L</t>
  </si>
  <si>
    <t>[U D : [R' D' R, U]] [U : [U, R' D R]]</t>
  </si>
  <si>
    <t>[U : [R' D' R, U]] [D' U : [U, R' D R]]</t>
  </si>
  <si>
    <t>[D : [R D' R', U]] [U, R D R']</t>
  </si>
  <si>
    <t>[D' : [R D R', U]] [U, R D' R']</t>
  </si>
  <si>
    <t>Just R to UBR CCW</t>
  </si>
  <si>
    <t>2 sunes</t>
  </si>
  <si>
    <t>UBL FDL UBR (HB) + UBL UBR LDF (BT)</t>
  </si>
  <si>
    <t>UBL RDF UBR (OB) + UBL UBR FDR (BG)</t>
  </si>
  <si>
    <t>UBL BDR UBR (VB) + UBL UBR RDB (BN)</t>
  </si>
  <si>
    <t>UBL BDR UBR (UB) + UBL UBR LDB (BQ)</t>
  </si>
  <si>
    <t>[U2, R' D R D' R' D R]?</t>
  </si>
  <si>
    <t>*NOTE THAT ALL TWISTS WITH 2 COMMS HAVE CANCELLATIONS BETWEEN THE COMMS!</t>
  </si>
  <si>
    <t>UBL</t>
  </si>
  <si>
    <t>Y (UBL CW)</t>
  </si>
  <si>
    <t>[R D R' D' R D R', U']</t>
  </si>
  <si>
    <t>[U', R' D R D' R' D R]</t>
  </si>
  <si>
    <t>[U : [R U' R', D]] [D, R U R']]</t>
  </si>
  <si>
    <t>[D' : [U', R' D R]] [R' D' R, U']</t>
  </si>
  <si>
    <t>[U : [R U' R', D']] [D', R U R']</t>
  </si>
  <si>
    <t>[R D' R', U'] [D' : [U', R D R']]</t>
  </si>
  <si>
    <t>UFR FDR LDF (GT) + UFR FDL RDF (HO)</t>
  </si>
  <si>
    <t>UFR FDR UFL (GD) + UFR UFL RDF (DO)</t>
  </si>
  <si>
    <t>UFR FDR RDB (GN) + UFR BDR RDF (VO)</t>
  </si>
  <si>
    <t>UFR LDB UBR (QB) + UFR UBR BDL (BU)</t>
  </si>
  <si>
    <t>R (UBL CCW)</t>
  </si>
  <si>
    <t>[U', R D R' D' R D R']</t>
  </si>
  <si>
    <t>[R' D R D' R' D R, U']</t>
  </si>
  <si>
    <t>[R U R', D] [U : [D, R U' R']]</t>
  </si>
  <si>
    <t>[U', R' D' R] [D' : [R' D R, U']]</t>
  </si>
  <si>
    <t>[R U R', D'] [U : [D', R U' R']]</t>
  </si>
  <si>
    <t>[D' : [R D R', U']] [R D' R', U']</t>
  </si>
  <si>
    <t>UFR RDF FDL (OH) + UFR LDF FDR (TG)</t>
  </si>
  <si>
    <t>UFR RDF UFL (OD) + UFR UFL FDR (DG)</t>
  </si>
  <si>
    <t>UFR RDF BDR (OV) + UFR RDB FDR (GN)</t>
  </si>
  <si>
    <t>UFR BDL UBR (UB) + UFR UBR LDB (BQ)</t>
  </si>
  <si>
    <t>A (BU)</t>
  </si>
  <si>
    <t>B (RU)</t>
  </si>
  <si>
    <t>C (FU)</t>
  </si>
  <si>
    <t>D (LU)</t>
  </si>
  <si>
    <t>E (UF)</t>
  </si>
  <si>
    <t>F (RF)</t>
  </si>
  <si>
    <t>H (LF)</t>
  </si>
  <si>
    <t>J (RD)</t>
  </si>
  <si>
    <t>K (BD)</t>
  </si>
  <si>
    <t>L (LD)</t>
  </si>
  <si>
    <t>M (BR)</t>
  </si>
  <si>
    <t>N (DR)</t>
  </si>
  <si>
    <t>O (FR)</t>
  </si>
  <si>
    <t>P (UR)</t>
  </si>
  <si>
    <t>Q (BL)</t>
  </si>
  <si>
    <t>R (UL)</t>
  </si>
  <si>
    <t>S (FL)</t>
  </si>
  <si>
    <t>T (DL)</t>
  </si>
  <si>
    <t>U (DB)</t>
  </si>
  <si>
    <t>V (RB)</t>
  </si>
  <si>
    <t>W (UB)</t>
  </si>
  <si>
    <t>Y (LB)</t>
  </si>
  <si>
    <t>[M U M' U : [M', U2]]</t>
  </si>
  <si>
    <t>[R U : [R' F' R, S']]</t>
  </si>
  <si>
    <t>[U : [R' F' R, S']]</t>
  </si>
  <si>
    <t>[R' F' R : [R E' R', U]]</t>
  </si>
  <si>
    <t>[M : (U' M U' M')2]</t>
  </si>
  <si>
    <t>[U' : [L F L', S]]</t>
  </si>
  <si>
    <t>[U : [D2, M' U M]] executed as U [M U' M'] U2 [M' U M] U</t>
  </si>
  <si>
    <t>[R U' R' U, M']</t>
  </si>
  <si>
    <t>[M u' : M' u2 M' u2]</t>
  </si>
  <si>
    <t>[U D : [S', R F R']]</t>
  </si>
  <si>
    <t>[S' R' U : [M', U2]]</t>
  </si>
  <si>
    <t>[L F L' U : [M', U2]]</t>
  </si>
  <si>
    <t>[D2, M' U M] execute as [M U' M'] U2 [M' U M] U2</t>
  </si>
  <si>
    <t>[M', R U' R' U]</t>
  </si>
  <si>
    <t>[M', L' U L U']</t>
  </si>
  <si>
    <t>[D' L F' : [E', L2]]</t>
  </si>
  <si>
    <t>[D R' F : [E, R2]]</t>
  </si>
  <si>
    <t>[F' : [R U' R', E]]</t>
  </si>
  <si>
    <t>[F : [L' U L, E']]</t>
  </si>
  <si>
    <t>[U : [r U r', S]]</t>
  </si>
  <si>
    <t>[U : [D2, M' U' M]] executed as U [M U M'] U2 [M' U' M] U</t>
  </si>
  <si>
    <t>[L' U L U', M']</t>
  </si>
  <si>
    <t>[M u : M' u2 M' u2]</t>
  </si>
  <si>
    <t>[U' D : [S', R F R']]</t>
  </si>
  <si>
    <t>[M' : [U, l E' l']]</t>
  </si>
  <si>
    <t>[r U r', S']</t>
  </si>
  <si>
    <t>[S L U' : [M', U2]]</t>
  </si>
  <si>
    <t>[R' F' R U' : [M', U2]]</t>
  </si>
  <si>
    <t>[r U r', S]</t>
  </si>
  <si>
    <t>[D2, M' U' M] executed as [M U M'] U2 [M' U' M] U2</t>
  </si>
  <si>
    <t>[M u : M u2 M u2]</t>
  </si>
  <si>
    <t>[M u' : M u2 M u2]</t>
  </si>
  <si>
    <t>[L2 F' : [L2, E']]</t>
  </si>
  <si>
    <t>[U D' L' : [E, L2]]</t>
  </si>
  <si>
    <t>[U D' L : [E', L2]]</t>
  </si>
  <si>
    <t>[M U2 M, U]</t>
  </si>
  <si>
    <t>[U' D R : [E', R2]]</t>
  </si>
  <si>
    <t>[M U2 M, U']</t>
  </si>
  <si>
    <t>[U' D R' : [E, R2]]</t>
  </si>
  <si>
    <t>[x M2 U : [M, U2]]</t>
  </si>
  <si>
    <t>[F', R' S' R]</t>
  </si>
  <si>
    <t>[R : [D2, M' U M]] execute as R [M U' M'] U2 [M' U M] U2 R'</t>
  </si>
  <si>
    <t>[R : [U M' U', R2]]</t>
  </si>
  <si>
    <t>[l' U L : [E', L2]]</t>
  </si>
  <si>
    <t>[x M2 U' : [M, U2]]</t>
  </si>
  <si>
    <t>[F, L S L']</t>
  </si>
  <si>
    <t>[R' F R, E']</t>
  </si>
  <si>
    <t>[R' F R, E]</t>
  </si>
  <si>
    <t>[L' : [D2, M' U' M]] executed as L' [M U M'] U2 [M' U' M] U2 L</t>
  </si>
  <si>
    <t>[L' : [U' M' U, L2]]</t>
  </si>
  <si>
    <t>[D' L F' : [L2, E']]</t>
  </si>
  <si>
    <t>[M' D : [M, D2]]</t>
  </si>
  <si>
    <t>[S' : [U' M2 U, R]]</t>
  </si>
  <si>
    <t>[S' L U' : [M', U2]]</t>
  </si>
  <si>
    <t>[S' L' U' : [M', U2]]</t>
  </si>
  <si>
    <t>[S' u : M u2 M u2]</t>
  </si>
  <si>
    <t>[R2 : [U M' U', R]]</t>
  </si>
  <si>
    <t>[R' F' : [E', R2]]</t>
  </si>
  <si>
    <t>[M U' M' U : [M', U2]]</t>
  </si>
  <si>
    <t>[U D : [R F R', S']]</t>
  </si>
  <si>
    <t>[D : [R F R', S']]</t>
  </si>
  <si>
    <t>[U' D : [R F R', S']]</t>
  </si>
  <si>
    <t>[M, D' R' D]</t>
  </si>
  <si>
    <t>[D' : [S', R F' R']]</t>
  </si>
  <si>
    <t>[U D' : [S', R F R']]</t>
  </si>
  <si>
    <t>[U' D' : [S', R F R']]</t>
  </si>
  <si>
    <t>[M, D' R D]</t>
  </si>
  <si>
    <t>[M, D L' D']</t>
  </si>
  <si>
    <t>[D R' F : [R2, E]]</t>
  </si>
  <si>
    <t>[M' D' : [M, D2]]</t>
  </si>
  <si>
    <t>[S R' U : [M', U2]]</t>
  </si>
  <si>
    <t>[S R U : [M, U2]]</t>
  </si>
  <si>
    <t>[L f L : [S', L2]]</t>
  </si>
  <si>
    <t>[S : [U M2 U', L']]</t>
  </si>
  <si>
    <t>[S u' : M u2 M u2]</t>
  </si>
  <si>
    <t>[L F : [E, L2]]</t>
  </si>
  <si>
    <t>[L2 : [U' M' U, L']]</t>
  </si>
  <si>
    <t>[R U : [S', R' F' R]]</t>
  </si>
  <si>
    <t>[U M' : [U R' U', M']]</t>
  </si>
  <si>
    <t>[U D' L : [E, L2]]</t>
  </si>
  <si>
    <t>[D R D', M']</t>
  </si>
  <si>
    <t>[S R' U' : [M', U2]]</t>
  </si>
  <si>
    <t>[R' : [U' M2 U, R']]</t>
  </si>
  <si>
    <t>[R' : [U' M2 U, R2]]</t>
  </si>
  <si>
    <t>[R' D R : [E', R2]]</t>
  </si>
  <si>
    <t>[R' u : M u2 M u2]</t>
  </si>
  <si>
    <t>[U R' U', M2]</t>
  </si>
  <si>
    <t>[U : [S', R' F' R]]</t>
  </si>
  <si>
    <t>[L S L', F]</t>
  </si>
  <si>
    <t>[D' : [R F' R', S']]</t>
  </si>
  <si>
    <t>[R2 : [U' M2 U, R]]</t>
  </si>
  <si>
    <t>[R2 : [U' M2 U, R']]</t>
  </si>
  <si>
    <t>[R2, U' M2 U]</t>
  </si>
  <si>
    <t>[M2 D' : [M', D2]]</t>
  </si>
  <si>
    <t>[R2 u : M u2 M u2]</t>
  </si>
  <si>
    <t>[U R2 U', M2]</t>
  </si>
  <si>
    <t>[L F L' U' : [M', U2]]</t>
  </si>
  <si>
    <t>[M' : [U R U', M']]</t>
  </si>
  <si>
    <t>[U D' L' : [E', L2]]</t>
  </si>
  <si>
    <t>[E', R' F R]</t>
  </si>
  <si>
    <t>[S' : [R, U' M2 U]]</t>
  </si>
  <si>
    <t>[D R' D', M']</t>
  </si>
  <si>
    <t>[S R U' : [M, U2]]</t>
  </si>
  <si>
    <t>[R : [U' M2 U, R2]]</t>
  </si>
  <si>
    <t>[R D R : [E', R2]]</t>
  </si>
  <si>
    <t>[R u : M u2 M u2]</t>
  </si>
  <si>
    <t>[U R U', M2]</t>
  </si>
  <si>
    <t>[R' : [D, R' E' R]]</t>
  </si>
  <si>
    <t>[M' : [R' U R U', M']]</t>
  </si>
  <si>
    <t>[S', r U r']</t>
  </si>
  <si>
    <t>[U D' : [R F R', S']]</t>
  </si>
  <si>
    <t>[U' M2 U, R2]</t>
  </si>
  <si>
    <t>[L2 U' : [M', U2]]</t>
  </si>
  <si>
    <t>[u : M u2 M u2]</t>
  </si>
  <si>
    <t>[R' U R U', M2]</t>
  </si>
  <si>
    <t>[R' F' R : [U, R E' R']]</t>
  </si>
  <si>
    <t>[U' M' : [U' L U, M']]</t>
  </si>
  <si>
    <t>[U' D R' : [E', R2]]</t>
  </si>
  <si>
    <t>[E, R' F R]</t>
  </si>
  <si>
    <t>[S' L U : [M', U2]]</t>
  </si>
  <si>
    <t>[D' L' D, M']</t>
  </si>
  <si>
    <t>[L f L' : [S', L2]]</t>
  </si>
  <si>
    <t>[R' D R' : [E', R2]]</t>
  </si>
  <si>
    <t>[R D R' : [E', R2]]</t>
  </si>
  <si>
    <t>[F : [L' U L, E]]</t>
  </si>
  <si>
    <t>[L : [U M2 U', L]]</t>
  </si>
  <si>
    <t>[L u' : M u2 M u2]</t>
  </si>
  <si>
    <t>[U' L U, M2]</t>
  </si>
  <si>
    <t>[M' : [L U' L' U, M']]</t>
  </si>
  <si>
    <t>[U', M U2 M]</t>
  </si>
  <si>
    <t>[U' D' : [R F R', S']]</t>
  </si>
  <si>
    <t>[L F : [E, L' U L]]</t>
  </si>
  <si>
    <t>[u' : M u2 M u2]</t>
  </si>
  <si>
    <t>D R U R' U' R' U' R' U R U D'</t>
  </si>
  <si>
    <t>[f L' : [S', L2]]</t>
  </si>
  <si>
    <t>[U M' : [r' E r, U]]</t>
  </si>
  <si>
    <t>[R' F' R U : [M', U2]]</t>
  </si>
  <si>
    <t>[U' D R : [E, R2]]</t>
  </si>
  <si>
    <t>[S' L' U : [M', U2]]</t>
  </si>
  <si>
    <t>[D' L D, M']</t>
  </si>
  <si>
    <t>[S : [L', U M2 U']]</t>
  </si>
  <si>
    <t>[F : [E, L' U L]]</t>
  </si>
  <si>
    <t>[L' u' : M u2 M u2]</t>
  </si>
  <si>
    <t>[L : [D', L E L']]</t>
  </si>
  <si>
    <t>[L : [S, r U r']]</t>
  </si>
  <si>
    <t>[U' : [S, r U r']]</t>
  </si>
  <si>
    <t>[U : [S', r U r']]</t>
  </si>
  <si>
    <t>[S, r U r']</t>
  </si>
  <si>
    <t>[R' S' R, F']</t>
  </si>
  <si>
    <t>[M2 D : [M', D2]]</t>
  </si>
  <si>
    <t>[L2 U : [M', U2]]</t>
  </si>
  <si>
    <t>[L2 : [U M2 U', L']]</t>
  </si>
  <si>
    <t>[L F : [L' U L, E]]</t>
  </si>
  <si>
    <t>[L2 : [U M2 U', L]]</t>
  </si>
  <si>
    <t>[L2 u' : M u2 M u2]</t>
  </si>
  <si>
    <t>[D', L E L']</t>
  </si>
  <si>
    <t>[U' L2 U, M2]</t>
  </si>
  <si>
    <t>[U : [M' U M, D2]] executed as U [M' U M] U2 [M U' M'] U</t>
  </si>
  <si>
    <t>[M' U M, D2] execute as [M' U M] U2 [M U' M'] U2</t>
  </si>
  <si>
    <t>[U : [M' U' M, D2]] executed as U [M' U' M] U2 [M U M'] U</t>
  </si>
  <si>
    <t>[M' U' M, D2] executed as [M' U' M] U2 [M U M'] U2</t>
  </si>
  <si>
    <t>[R : [M' U M, D2]] execute as R [M' U M] U2 [M U' M'] U2 R'</t>
  </si>
  <si>
    <t>[L' : [M' U' M, D2'] executed as L' [M' U' M] U2 [M U M'] U2 L</t>
  </si>
  <si>
    <t>[S' u' : M' u2 M' u2]</t>
  </si>
  <si>
    <t>[S u : M' u2 M' u2]</t>
  </si>
  <si>
    <t>[R' u' : M' u2 M' u2]</t>
  </si>
  <si>
    <t>[R2 u' : M' u2 M' u2]</t>
  </si>
  <si>
    <t>[R u' : M' u2 M' u2]</t>
  </si>
  <si>
    <t>[u' : M' u2 M' u2]</t>
  </si>
  <si>
    <t>[L u : M' u2 M' u2]</t>
  </si>
  <si>
    <t>[u : M' u2 M' u2]</t>
  </si>
  <si>
    <t>[L' u : M' u2 M' u2]</t>
  </si>
  <si>
    <t>[L2 u : M' u2 M' u2]</t>
  </si>
  <si>
    <t>[R' : [M' U M, D2]] execute as R' [M' U M] U2 [M U' M'] U2 R</t>
  </si>
  <si>
    <t>[L : [M' U' M, D2]] executed as L [M' U' M] U2 [M U M'] U2 L'</t>
  </si>
  <si>
    <t>[R' : [U M' U', R2]]</t>
  </si>
  <si>
    <t>[D' R D, M]</t>
  </si>
  <si>
    <t>[L F : [L2, E]]</t>
  </si>
  <si>
    <t>[L : [L E L', D']]</t>
  </si>
  <si>
    <t>[L E L', D']</t>
  </si>
  <si>
    <t>[R' : [D2, M' U M]] execute as R' [M U' M'] U2 [M' U M] U2 R</t>
  </si>
  <si>
    <t>[M : [M2, R U' R' U]]</t>
  </si>
  <si>
    <t>[U' : [S, R' F' R]]</t>
  </si>
  <si>
    <t>[M2, U R' U']</t>
  </si>
  <si>
    <t>[M2, U R2 U']</t>
  </si>
  <si>
    <t>[M2, U R U']</t>
  </si>
  <si>
    <t>[M2, R' U R U']</t>
  </si>
  <si>
    <t>[M2, U' L U]</t>
  </si>
  <si>
    <t>[M2, U' L2 U]</t>
  </si>
  <si>
    <t>M2 U2 M' U2 M'</t>
  </si>
  <si>
    <t>[l' U L' : [E', L2]]</t>
  </si>
  <si>
    <t>[L : [U' M' U, L2]]</t>
  </si>
  <si>
    <t>[R' F' : [R2, E']]</t>
  </si>
  <si>
    <t>[D L' D', M]</t>
  </si>
  <si>
    <t>[L2 : [L', U' M' U]]</t>
  </si>
  <si>
    <t>[R' : [R' E' R, D]]</t>
  </si>
  <si>
    <t>[f L : [S', L2]]</t>
  </si>
  <si>
    <t>[L : [r U r', S]]</t>
  </si>
  <si>
    <t>comms w/ RS 5 mover</t>
  </si>
  <si>
    <t>comms w/ LS 5 mover</t>
  </si>
  <si>
    <t>comms w/ LE 5 mover</t>
  </si>
  <si>
    <t>comms w/ RE 5 mover</t>
  </si>
  <si>
    <t>comms w/ MU 5 mover</t>
  </si>
  <si>
    <t>comms w/ MD 5 mover</t>
  </si>
  <si>
    <t>comms w/ Mu 5 mover</t>
  </si>
  <si>
    <t>THIS LIST HAS A LOT OF BAD ALGS I RECOMMEND NOT USING IT</t>
  </si>
  <si>
    <t>A (BUl)</t>
  </si>
  <si>
    <t xml:space="preserve">B (RUb) </t>
  </si>
  <si>
    <t>C (FUr)</t>
  </si>
  <si>
    <t>D (LUf)</t>
  </si>
  <si>
    <t>E (UFl)</t>
  </si>
  <si>
    <t>F (RFu)</t>
  </si>
  <si>
    <t>H (LFd)</t>
  </si>
  <si>
    <t>I (FDl)</t>
  </si>
  <si>
    <t>J (RDf)</t>
  </si>
  <si>
    <t>K (BDr)</t>
  </si>
  <si>
    <t>L (LDb)</t>
  </si>
  <si>
    <t>M (BRu)</t>
  </si>
  <si>
    <t>N (DRb)</t>
  </si>
  <si>
    <t>O (FRd)</t>
  </si>
  <si>
    <t>P (URf)</t>
  </si>
  <si>
    <t>Q (BLd)</t>
  </si>
  <si>
    <t>R (ULb)</t>
  </si>
  <si>
    <t>S (FLu)</t>
  </si>
  <si>
    <t>T (DLf)</t>
  </si>
  <si>
    <t>U (DBl)</t>
  </si>
  <si>
    <t>V (RBd)</t>
  </si>
  <si>
    <t>W (UBr)</t>
  </si>
  <si>
    <t>Y (LBu)</t>
  </si>
  <si>
    <t>[U : [R U' R' U, r]]</t>
  </si>
  <si>
    <t>[l' D2 l, U2]</t>
  </si>
  <si>
    <t>[l' D2 l, U]</t>
  </si>
  <si>
    <t>[U' D : [U' r U, R2]]</t>
  </si>
  <si>
    <t>[U : [U r U', R]]</t>
  </si>
  <si>
    <t>[U' : [U' r U, L']]</t>
  </si>
  <si>
    <t>[U Lw : [D2, r U r']]</t>
  </si>
  <si>
    <t>[U : [U r U', R2]]</t>
  </si>
  <si>
    <t>[U : [D' R2 D, r']]</t>
  </si>
  <si>
    <t>[U' : [U' r U, L2]]</t>
  </si>
  <si>
    <t>[Uw : [U r U', R]]</t>
  </si>
  <si>
    <t>[U : [D', r U r']]</t>
  </si>
  <si>
    <t>[R' U : [D', r U r']]</t>
  </si>
  <si>
    <t>[Lw U' : [R' U R U', r2]]</t>
  </si>
  <si>
    <t>[L' U' : [L F L', f]]</t>
  </si>
  <si>
    <t>[U Rw' : [U' R U, r2]]</t>
  </si>
  <si>
    <t>[Uw' U' : [r, U' R U]]</t>
  </si>
  <si>
    <t>[U' : [D, r U' r']]</t>
  </si>
  <si>
    <t>[U : [D2, r U r']]</t>
  </si>
  <si>
    <t>[U : [U r U', R']]</t>
  </si>
  <si>
    <t>[U2 r U2, Lw U2 Lw']</t>
  </si>
  <si>
    <t>[U' : [U' r U, L]]</t>
  </si>
  <si>
    <t>B (RUb)</t>
  </si>
  <si>
    <t>[U : [r, R U' R' U]]</t>
  </si>
  <si>
    <t>[R' U' : [U' R U, r]]</t>
  </si>
  <si>
    <t>[Lw' U : [r, R U' R' U]]</t>
  </si>
  <si>
    <t>[U r U', R]</t>
  </si>
  <si>
    <t>[U : [r, U L' U']]</t>
  </si>
  <si>
    <t>[Lw : [D2, r U r']]</t>
  </si>
  <si>
    <t>[U r U', R2]</t>
  </si>
  <si>
    <t>[D' R2 D, r']</t>
  </si>
  <si>
    <t>[U : [r, U L2 U']]</t>
  </si>
  <si>
    <t>[D', r U r']</t>
  </si>
  <si>
    <t>[U r : [r, U R U']]</t>
  </si>
  <si>
    <t>[R Uw R' : [U r U', R2]]</t>
  </si>
  <si>
    <t>[U r : [r, U' L U]]</t>
  </si>
  <si>
    <t>[U D : [r, U R2 U']]</t>
  </si>
  <si>
    <t>[Uw : [r, U L U']]</t>
  </si>
  <si>
    <t>[D, r U r']</t>
  </si>
  <si>
    <t>[D2, r U r']</t>
  </si>
  <si>
    <t>[U r U', R']</t>
  </si>
  <si>
    <t>[Rw' : [U' R U, r2]]</t>
  </si>
  <si>
    <t>[U : [r, U L U']]</t>
  </si>
  <si>
    <t>[U2, l' D2 l]</t>
  </si>
  <si>
    <t>[Lw' : [U2, l' D2 l]]</t>
  </si>
  <si>
    <t>[U' : [D' R2 D, r']]</t>
  </si>
  <si>
    <t>[r, U L2 U']</t>
  </si>
  <si>
    <t>[R' F' : [R U' R', u']]</t>
  </si>
  <si>
    <t>[4Lw' : [r, U' L U]]</t>
  </si>
  <si>
    <t>[U, l' D2 l]</t>
  </si>
  <si>
    <t>[R' U' : [r, U' R U]]</t>
  </si>
  <si>
    <t>[Lw' U' : [L, U' r U]]</t>
  </si>
  <si>
    <t>[U' : [r, U' R U]]</t>
  </si>
  <si>
    <t>[U' r U, L']</t>
  </si>
  <si>
    <t>[l : [D2, r U' r']]</t>
  </si>
  <si>
    <t>[U' : [r, U' R2 U]]</t>
  </si>
  <si>
    <t>[D L2 D', r']</t>
  </si>
  <si>
    <t>[U' r U, L2]</t>
  </si>
  <si>
    <t>[U' r : [r, U R' U']]</t>
  </si>
  <si>
    <t>[D', r U' r']</t>
  </si>
  <si>
    <t>[U' r : [r, U R U']]</t>
  </si>
  <si>
    <t>[D : [U' r U, R2]]</t>
  </si>
  <si>
    <t>[U' r : [r, U' L U]]</t>
  </si>
  <si>
    <t>[U : [U2 r U2, Lw U2 Lw']]</t>
  </si>
  <si>
    <t>[Uw' : [r, U' R U]]</t>
  </si>
  <si>
    <t>[r U r', D]</t>
  </si>
  <si>
    <t>[D2, r U' r']</t>
  </si>
  <si>
    <t>[U' : [r, U' R' U]]</t>
  </si>
  <si>
    <t>[x' : [U L' U', r2]]</t>
  </si>
  <si>
    <t>[U' r U, L]</t>
  </si>
  <si>
    <t>[U' D : [R2, U' r U]]</t>
  </si>
  <si>
    <t>[Lw' U : [R U' R' U, r]]</t>
  </si>
  <si>
    <t>[Lw' : [l' D2 l, U2]]</t>
  </si>
  <si>
    <t>[Lw' U' : [U' r U, L]]</t>
  </si>
  <si>
    <t>[Lw' U : [U r U', R]]</t>
  </si>
  <si>
    <t>[U2 r : [U L' U', r2]]</t>
  </si>
  <si>
    <t>[Lw' U' D : [U' r U, R2]]</t>
  </si>
  <si>
    <t>[D' : [U L2 U', l']]</t>
  </si>
  <si>
    <t>[U' Rw' : [U R U', r']]</t>
  </si>
  <si>
    <t>[D : [U' R2 U, l']]</t>
  </si>
  <si>
    <t>[U' : [U' r2 U, R']]</t>
  </si>
  <si>
    <t>[U' : [U' r2 U, R2]]</t>
  </si>
  <si>
    <t>[U' : [U' r2 U, R]]</t>
  </si>
  <si>
    <t>[U' : [R' U R U', r2]]</t>
  </si>
  <si>
    <t>[U : [U r2 U', L]]</t>
  </si>
  <si>
    <t>[U2 : [r2, R' U R U']]</t>
  </si>
  <si>
    <t>[U : [U r2 U', L']]</t>
  </si>
  <si>
    <t>[U : [U r2 U', L2]]</t>
  </si>
  <si>
    <t>[U2 D' R D : [r2, U R U']]</t>
  </si>
  <si>
    <t>[Lw' U : [U r U', R']]</t>
  </si>
  <si>
    <t>[U' R' U : [U R U', r2]]</t>
  </si>
  <si>
    <t>[Uw U : [r2, U R' U']]</t>
  </si>
  <si>
    <t>[U : [R, U r U']]</t>
  </si>
  <si>
    <t>[R, U r U']</t>
  </si>
  <si>
    <t>[U' : [U' R U, r]]</t>
  </si>
  <si>
    <t>[Lw' U : [R, U r U']]</t>
  </si>
  <si>
    <t>[R U : [r, U L' U']]</t>
  </si>
  <si>
    <t>[Lw2 U : [R, U r U']]</t>
  </si>
  <si>
    <t>[R : [U r U', r]]</t>
  </si>
  <si>
    <t>[D' R' D, r']</t>
  </si>
  <si>
    <t>[z U r : [U L' U', r2]]</t>
  </si>
  <si>
    <t>[R : [D', r U r']]</t>
  </si>
  <si>
    <t>[Uw' R' : [U' r2 U, R']]</t>
  </si>
  <si>
    <t>[Uw' R' : [U' r2 U, R2]]</t>
  </si>
  <si>
    <t>[Uw' : [U R' U', r2]]</t>
  </si>
  <si>
    <t>[z U' : [U' r U, L']]</t>
  </si>
  <si>
    <t>[Uw : [U' L' U, r2]]</t>
  </si>
  <si>
    <t>[z : [r, U L' U']]</t>
  </si>
  <si>
    <t>[z : [U' r U, L']]</t>
  </si>
  <si>
    <t>[R : [D2, r U r']]</t>
  </si>
  <si>
    <t>[R : [U r U', R2]]</t>
  </si>
  <si>
    <t>[r' : [U' R U, r2]]</t>
  </si>
  <si>
    <t>[u' : [R D R', u2]]</t>
  </si>
  <si>
    <t>[U' : [L', U' r U]]</t>
  </si>
  <si>
    <t>[U : [U L' U', r]]</t>
  </si>
  <si>
    <t>[L', U' r U]</t>
  </si>
  <si>
    <t>[U2 r' : [U L' U', r2]]</t>
  </si>
  <si>
    <t>[R U : [U L' U', r]]</t>
  </si>
  <si>
    <t>[Lw2 U' : [L, U' r U]]</t>
  </si>
  <si>
    <t>[z' U' r : [U R U', r2]]</t>
  </si>
  <si>
    <t>[D L D', r']</t>
  </si>
  <si>
    <t>[L' : [U' r U, L']]</t>
  </si>
  <si>
    <t>[z' U : [U r U', R]]</t>
  </si>
  <si>
    <t>[z' : [U r U', R]]</t>
  </si>
  <si>
    <t>[z' : [r, U' R U]]</t>
  </si>
  <si>
    <t>[z U' : [r, U' R U]]</t>
  </si>
  <si>
    <t>[L' : [D, r U' r']]</t>
  </si>
  <si>
    <t>[U r' : [U L' U', r2]]</t>
  </si>
  <si>
    <t>[Uw L' : [U' r U, L2]]</t>
  </si>
  <si>
    <t>[L' Uw' : [r, U' R U]]</t>
  </si>
  <si>
    <t>[L' : [D2, r U' r']]</t>
  </si>
  <si>
    <t>[z' r : [U' R U, r2]]</t>
  </si>
  <si>
    <t>[r' : [U L' U', r2]]</t>
  </si>
  <si>
    <t>[L' : [U' r U, L2]]</t>
  </si>
  <si>
    <t>[U Lw : [r U r', D2]]</t>
  </si>
  <si>
    <t>[Lw : [r U r', D2]]</t>
  </si>
  <si>
    <t>[l : [r U' r', D2]]</t>
  </si>
  <si>
    <t>[Lw' U' D : [R2, U' r U]]</t>
  </si>
  <si>
    <t>[Lw2 U : [U r U', R]]</t>
  </si>
  <si>
    <t>[Lw2 U' : [U' r U, L]]</t>
  </si>
  <si>
    <t>[Lw2 U : [U r U', R2]]</t>
  </si>
  <si>
    <t>[Lw2 U : [D' R2 D, r']]</t>
  </si>
  <si>
    <t>[Lw2 U2 : [r, R U' R' U]]</t>
  </si>
  <si>
    <t>[Lw' U' : [U' r2 U, R']]</t>
  </si>
  <si>
    <t>[Lw' U' : [U' r2 U, R2]]</t>
  </si>
  <si>
    <t>[Lw' U' : [U' r2 U, R]]</t>
  </si>
  <si>
    <t>[Lw' U' : [R' U R U', r2]]</t>
  </si>
  <si>
    <t>[l' U : [U r2 U', L]]</t>
  </si>
  <si>
    <t>[Lw' U : [U r2 U', L]]</t>
  </si>
  <si>
    <t>[l' U : [U r2 U', L']]</t>
  </si>
  <si>
    <t>[Lw' U : [U r2 U', L']]</t>
  </si>
  <si>
    <t>[Lw2 U' : [L F L', f']]</t>
  </si>
  <si>
    <t>[Lw2 U2 : [r, U' R' U]]</t>
  </si>
  <si>
    <t>[Lw2 : [U2 r U2, Lw U2 Lw']]</t>
  </si>
  <si>
    <t>[Lw2 U' : [U' r U, L']]</t>
  </si>
  <si>
    <t>[U : [R2, U r U']]</t>
  </si>
  <si>
    <t>[R2, U r U']</t>
  </si>
  <si>
    <t>[U' : [U' R2 U, r]]</t>
  </si>
  <si>
    <t>[D' : [l', U L2 U']]</t>
  </si>
  <si>
    <t>[R : [r, U r U']]</t>
  </si>
  <si>
    <t>[z' U' r' : [U R U', r2]]</t>
  </si>
  <si>
    <t>[Lw2 U : [R2, U r U']]</t>
  </si>
  <si>
    <t>[R D' R' D, r']</t>
  </si>
  <si>
    <t>[R2 U : [r, U L2 U']]</t>
  </si>
  <si>
    <t>[Uw R : [R, U r U']]</t>
  </si>
  <si>
    <t>[R Uw' R' : [U' r2 U, R2]]</t>
  </si>
  <si>
    <t>[R Uw' : [U R' U', r2]]</t>
  </si>
  <si>
    <t>[x : [R U' R', u]]</t>
  </si>
  <si>
    <t>[L' x : [R U' R', u']]</t>
  </si>
  <si>
    <t>[D' : [U' l' U, L2]]</t>
  </si>
  <si>
    <t>[4Rw : [R U' R', u']]</t>
  </si>
  <si>
    <t>[x : [R U' R', u']]</t>
  </si>
  <si>
    <t>[Lw U : [R2, U r U']]</t>
  </si>
  <si>
    <t>[R2 : [U r U', R]]</t>
  </si>
  <si>
    <t>[r' : [U' R2 U, r2]]</t>
  </si>
  <si>
    <t>[R u' : [R D R', u2]]</t>
  </si>
  <si>
    <t>[U : [r', D' R2 D]]</t>
  </si>
  <si>
    <t>[r', D' R2 D]</t>
  </si>
  <si>
    <t>[U' : [r', D' R2 D]]</t>
  </si>
  <si>
    <t>[r', D L2 D']</t>
  </si>
  <si>
    <t>[U' Rw' : [r', U R U']]</t>
  </si>
  <si>
    <t>[r', D' R' D]</t>
  </si>
  <si>
    <t>[r', D L D']</t>
  </si>
  <si>
    <t>[Lw2 U : [r', D' R2 D]]</t>
  </si>
  <si>
    <t>[r', R D' R' D]</t>
  </si>
  <si>
    <t>[r', L' D L D']</t>
  </si>
  <si>
    <t>[r' : [r', U R' U']]</t>
  </si>
  <si>
    <t>[r' : [r', U R2 U']]</t>
  </si>
  <si>
    <t>[r' : [r', U R U']]</t>
  </si>
  <si>
    <t>[r' : [r', R' U R U']]</t>
  </si>
  <si>
    <t>[r' : [r', U' L U]]</t>
  </si>
  <si>
    <t>[r' : [r', L U' L' U]]</t>
  </si>
  <si>
    <t>[r' : [r', U' L' U]]</t>
  </si>
  <si>
    <t>[r' : [r', U' L2 U]]</t>
  </si>
  <si>
    <t>[Lw U : [r', D' R2 D]]</t>
  </si>
  <si>
    <t>[r', D' R D]</t>
  </si>
  <si>
    <t>[U Rw' : [r', U R U']]</t>
  </si>
  <si>
    <t>[r', D L' D']</t>
  </si>
  <si>
    <t>[U' : [L2, U' r U]]</t>
  </si>
  <si>
    <t>[U : [U L2 U', r]]</t>
  </si>
  <si>
    <t>[U L2 U', r]</t>
  </si>
  <si>
    <t>[L2, U' r U]</t>
  </si>
  <si>
    <t>[D : [l', U' R2 U]]</t>
  </si>
  <si>
    <t>[z U r' : [U L' U', r2]]</t>
  </si>
  <si>
    <t>[L' : [L', U' r U]]</t>
  </si>
  <si>
    <t>[Lw2 U2 : [R U' R' U, r]]</t>
  </si>
  <si>
    <t>[R2 U : [U L2 U', r]]</t>
  </si>
  <si>
    <t>[L' D L D', r']</t>
  </si>
  <si>
    <t>[Uw' L2 : [U' r U, L']]</t>
  </si>
  <si>
    <t>[x : [L' U L, d']]</t>
  </si>
  <si>
    <t>[4Lw' : [L' U L, d']]</t>
  </si>
  <si>
    <t>[D : [U l' U', R2]]</t>
  </si>
  <si>
    <t>[L Uw : [U R' U', r2]]</t>
  </si>
  <si>
    <t>[x : [L' U L, d]]</t>
  </si>
  <si>
    <t>[Uw L2 : [U' r U, L']]</t>
  </si>
  <si>
    <t>[L' u2 L, D']</t>
  </si>
  <si>
    <t>[Lw U' : [L, U' r U]]</t>
  </si>
  <si>
    <t>[L2 U' : [r, U' R' U]]</t>
  </si>
  <si>
    <t>[r' : [U L2 U', r2]]</t>
  </si>
  <si>
    <t>[L2 : [U' r U, L']]</t>
  </si>
  <si>
    <t>[Uw : [R, U r U']]</t>
  </si>
  <si>
    <t>[U' r : [U R' U', r]]</t>
  </si>
  <si>
    <t>[U' : [R', U' r2 U]]</t>
  </si>
  <si>
    <t>[R : [r U r', D']]</t>
  </si>
  <si>
    <t>[z' U : [R, U r U']]</t>
  </si>
  <si>
    <t>[Lw' U' : [R', U' r2 U]]</t>
  </si>
  <si>
    <t>[Uw R : [U r U', R]]</t>
  </si>
  <si>
    <t>[r' : [U R' U', r']]</t>
  </si>
  <si>
    <t>[Uw' L : [U' r U, L]]</t>
  </si>
  <si>
    <t>[R' : [U' r2 U, R']]</t>
  </si>
  <si>
    <t>[R' : [U' r2 U, R2]]</t>
  </si>
  <si>
    <t>[R, U' r2 U]</t>
  </si>
  <si>
    <t>[Rw' U' : [r', U' L U]]</t>
  </si>
  <si>
    <t>[U : [U R' U', r2]]</t>
  </si>
  <si>
    <t>[u2, R D R']]</t>
  </si>
  <si>
    <t>[Lw2 U' : [R', U' r2 U]]</t>
  </si>
  <si>
    <t>[U R' U', r2]</t>
  </si>
  <si>
    <t>[R D R', u]</t>
  </si>
  <si>
    <t>[U : [r U r', D']]</t>
  </si>
  <si>
    <t>[r U r', D']</t>
  </si>
  <si>
    <t>[r U' r', D]</t>
  </si>
  <si>
    <t>[U' : [R2, U' r2 U]]</t>
  </si>
  <si>
    <t>[Uw' R' : [R', U' r2 U]]</t>
  </si>
  <si>
    <t>[z' : [R, U r U']]</t>
  </si>
  <si>
    <t>[Lw' U' : [R2, U' r2 U]]</t>
  </si>
  <si>
    <t>[R Uw' R : [U' r2 U, R2]]</t>
  </si>
  <si>
    <t>[r' : [U R2 U', r']]</t>
  </si>
  <si>
    <t>[x : [d', L' U L]]</t>
  </si>
  <si>
    <t>[R2 : [U' r2 U, R]]</t>
  </si>
  <si>
    <t>[R2, U' r2 U]</t>
  </si>
  <si>
    <t>[z' : [R, U r2 U']]</t>
  </si>
  <si>
    <t>[U : [U R2 U', r2]]</t>
  </si>
  <si>
    <t>[L' U : [U R2 U', r2]]</t>
  </si>
  <si>
    <t>[R2 D : [R2, U' r2 U]]</t>
  </si>
  <si>
    <t>[Lw : [r U2 r', D']]</t>
  </si>
  <si>
    <t>[R' Uw : [U' R U, r]]</t>
  </si>
  <si>
    <t>[U R2 U', r2]</t>
  </si>
  <si>
    <t>[D, R' u R]</t>
  </si>
  <si>
    <t>[R' U : [r U r', D']]</t>
  </si>
  <si>
    <t>[U r : [U R U', r]]</t>
  </si>
  <si>
    <t>[U' r : [U R U', r]]</t>
  </si>
  <si>
    <t>[U' : [R, U' r2 U]]</t>
  </si>
  <si>
    <t>[Uw' R : [U' r2 U, R2]]</t>
  </si>
  <si>
    <t>[z' : [U' R U, r]]</t>
  </si>
  <si>
    <t>[Lw' U' : [R, U' r2 U]]</t>
  </si>
  <si>
    <t>[R Uw' : [r2, U R' U']]</t>
  </si>
  <si>
    <t>[r' : [U R U', r']]</t>
  </si>
  <si>
    <t>[4Lw' : [d', L' U L]]</t>
  </si>
  <si>
    <t>[R : [U' r2 U, R2]]</t>
  </si>
  <si>
    <t>[z' : [U' R U, r2]]</t>
  </si>
  <si>
    <t>[U : [U R U', r2]]</t>
  </si>
  <si>
    <t>[R' : [D, R' u2 R]]</t>
  </si>
  <si>
    <t>[D R2 : [U' r2 U, R']]</t>
  </si>
  <si>
    <t>[Lw2 U' : [R, U' r2 U]]</t>
  </si>
  <si>
    <t>[R' : [r U r', D']]</t>
  </si>
  <si>
    <t>[U R U', r2]</t>
  </si>
  <si>
    <t>[R' : [D, R' u R]]</t>
  </si>
  <si>
    <t>[Lw U' : [r2, R' U R U']]</t>
  </si>
  <si>
    <t>[R Uw R : [U r U', R2]]</t>
  </si>
  <si>
    <t>[Rw : [U' R' U, r]]</t>
  </si>
  <si>
    <t>[D : [R2, U' r U]]</t>
  </si>
  <si>
    <t>[U' : [r2, R' U R U']]</t>
  </si>
  <si>
    <t>[Uw' : [r2, U R' U']]</t>
  </si>
  <si>
    <t>[z U' : [U' R U, r]]</t>
  </si>
  <si>
    <t>[Lw' U' : [r2, R' U R U']]</t>
  </si>
  <si>
    <t>[x : [u, R U' R']]</t>
  </si>
  <si>
    <t>[r' : [R' U R U', r']]</t>
  </si>
  <si>
    <t>[D : [R2, U l' U']]</t>
  </si>
  <si>
    <t>[U' r2 U, R]</t>
  </si>
  <si>
    <t>[U' r2 U, R2]</t>
  </si>
  <si>
    <t>[U' : [r2, U' L U]]</t>
  </si>
  <si>
    <t>[R U : [U R U', r2]]</t>
  </si>
  <si>
    <t>[U' : [r2, U' L' U]]</t>
  </si>
  <si>
    <t>[U' : [r2, U' L2 U]]</t>
  </si>
  <si>
    <t>[Lw2 U' : [r2, R' U R U']]</t>
  </si>
  <si>
    <t>[4Uw' : [r2, U' L U]]</t>
  </si>
  <si>
    <t>[R' U R U', r2]</t>
  </si>
  <si>
    <t>[R : [R D R', u]]</t>
  </si>
  <si>
    <t>[L' U' : [f, L F L']]</t>
  </si>
  <si>
    <t>[U r : [U' L U, r]]</t>
  </si>
  <si>
    <t>[U' r : [U' L U, r]]</t>
  </si>
  <si>
    <t>[U : [L, U r2 U']]</t>
  </si>
  <si>
    <t>[z U' : [L', U' r U]]</t>
  </si>
  <si>
    <t>[L' : [r U' r', D]]</t>
  </si>
  <si>
    <t>[l' U : [L, U r2 U']]</t>
  </si>
  <si>
    <t>[L' x : [u', R U' R']]</t>
  </si>
  <si>
    <t>[r' : [U' L U, r']]</t>
  </si>
  <si>
    <t>[L Uw : [r2, U R' U']]</t>
  </si>
  <si>
    <t>[Rw' U' : [U' L U, r']]</t>
  </si>
  <si>
    <t>[z' : [U r2 U', R]]</t>
  </si>
  <si>
    <t>[z' : [r2, U' R U]]</t>
  </si>
  <si>
    <t>[U' : [U' L U, r2]]</t>
  </si>
  <si>
    <t>[L, U r2 U']</t>
  </si>
  <si>
    <t>[L : [U r2 U', L2]]</t>
  </si>
  <si>
    <t>[L : [U r2 U', L]]</t>
  </si>
  <si>
    <t>[Lw2 U : [L', U r2 U']]</t>
  </si>
  <si>
    <t>[z : [U' L' U, l]]</t>
  </si>
  <si>
    <t>[U' L U, r2]</t>
  </si>
  <si>
    <t>[Uw' L : [U r2 U', L2]]</t>
  </si>
  <si>
    <t>[U Rw : [U' R' U, r2]]</t>
  </si>
  <si>
    <t>[U D : [U R2 U', r]]</t>
  </si>
  <si>
    <t>[4Lw' : [U' L U, r]]</t>
  </si>
  <si>
    <t>[U : [Lw U2 Lw', U2 r U2]]</t>
  </si>
  <si>
    <t>[U2 : [R' U R U', r2]]</t>
  </si>
  <si>
    <t>[Uw : [r2, U' L' U]]</t>
  </si>
  <si>
    <t>[U r : [U L' U', r2]]</t>
  </si>
  <si>
    <t>[Lw' U : [L, U r2 U']]</t>
  </si>
  <si>
    <t>[4Rw : [u', R U' R']]</t>
  </si>
  <si>
    <t>[r' : [L U' L' U, r']]</t>
  </si>
  <si>
    <t>[x : [d, L' U L]]</t>
  </si>
  <si>
    <t>[U : [r2, U R' U']]</t>
  </si>
  <si>
    <t>[U : [r2, U R2 U']]</t>
  </si>
  <si>
    <t>[U : [r2, U R U']]</t>
  </si>
  <si>
    <t>[R U : [r2, U R U']]</t>
  </si>
  <si>
    <t>[U r2 U', L]</t>
  </si>
  <si>
    <t>[U r2 U', L']</t>
  </si>
  <si>
    <t>[U r2 U', L2]</t>
  </si>
  <si>
    <t>[Lw2 U : [L2, U r2 U']]</t>
  </si>
  <si>
    <t>[R' U D : [U R2 U', r]]</t>
  </si>
  <si>
    <t>[U : [r2, R' U R U']]</t>
  </si>
  <si>
    <t>[Uw' U' : [U' R U, r]]</t>
  </si>
  <si>
    <t>[Uw : [U L U', r]]</t>
  </si>
  <si>
    <t>[Uw' : [U' R U, r]]</t>
  </si>
  <si>
    <t>[U : [L', U r2 U']]</t>
  </si>
  <si>
    <t>[z : [U L' U', r]]</t>
  </si>
  <si>
    <t>[Uw L : [U' r U, L2]]</t>
  </si>
  <si>
    <t>[l' U : [L', U r2 U']]</t>
  </si>
  <si>
    <t>[D' : [L2, U' l' U]]</t>
  </si>
  <si>
    <t>[r' : [U' L' U, r']]</t>
  </si>
  <si>
    <t>[Uw L : [U' r U, L]]</t>
  </si>
  <si>
    <t>[R D R', u2]]</t>
  </si>
  <si>
    <t>[L' U : [r2, U R2 U']]</t>
  </si>
  <si>
    <t>[R' : [R' u2 R, D]]</t>
  </si>
  <si>
    <t>[U' : [U' L' U, r2]]</t>
  </si>
  <si>
    <t>[L' : [U r2 U', L2]]</t>
  </si>
  <si>
    <t>[L', U r2 U']</t>
  </si>
  <si>
    <t>[L' : [U r2 U', L']]</t>
  </si>
  <si>
    <t>[Lw2 U : [L, U r2 U']]</t>
  </si>
  <si>
    <t>[R' U r : [U' L' U, r]]</t>
  </si>
  <si>
    <t>[U' L' U, r2]</t>
  </si>
  <si>
    <t>[L : [r U r', D]]</t>
  </si>
  <si>
    <t>[U' : [r U' r', D]]</t>
  </si>
  <si>
    <t>[U : [L2, U r2 U']]</t>
  </si>
  <si>
    <t>[z : [L', U' r U]]</t>
  </si>
  <si>
    <t>[L' Uw' : [U' R U, r]]</t>
  </si>
  <si>
    <t>[Lw' U : [L', U r2 U']]</t>
  </si>
  <si>
    <t>[x : [u', R U' R']]</t>
  </si>
  <si>
    <t>[r' : [U' L2 U, r']]</t>
  </si>
  <si>
    <t>[L' Uw L : [U' r U, L2]]</t>
  </si>
  <si>
    <t>[D', L' u2 L]</t>
  </si>
  <si>
    <t>[R2 D : [U' r2 U, R2]]</t>
  </si>
  <si>
    <t>[D R : [U' r2 U, R]]</t>
  </si>
  <si>
    <t>[U' : [U' L2 U, r2]]</t>
  </si>
  <si>
    <t>[L2 : [U r2 U', L']]</t>
  </si>
  <si>
    <t>[L2, U r2 U']</t>
  </si>
  <si>
    <t>[L2 : [U r2 U', L]]</t>
  </si>
  <si>
    <t>[Rw : [D', l U2 l']]</t>
  </si>
  <si>
    <t>[x R : [u', R U' R']]</t>
  </si>
  <si>
    <t>[U' L2 U, r2]</t>
  </si>
  <si>
    <t>[Uw' L2 : [U r2 U', L]]</t>
  </si>
  <si>
    <t>[U : [r U r', D2]]</t>
  </si>
  <si>
    <t>[r U r', D2]</t>
  </si>
  <si>
    <t>[r U' r', D2]</t>
  </si>
  <si>
    <t>[U2 D' R D : [U R U', r2]]</t>
  </si>
  <si>
    <t>[R : [r U r', D2]]</t>
  </si>
  <si>
    <t>[L' : [r U' r', D2]]</t>
  </si>
  <si>
    <t>[Lw2 U' : [f', L F L']]</t>
  </si>
  <si>
    <t>[Lw U : [U r U', R2]]</t>
  </si>
  <si>
    <t>[Lw U : [D' R2 D, r']]</t>
  </si>
  <si>
    <t>[Lw U' : [U' r U, L]]</t>
  </si>
  <si>
    <t>[Lw2 U' : [U' r2 U, R']]</t>
  </si>
  <si>
    <t>[Lw : [D', r U2 r']]</t>
  </si>
  <si>
    <t>[Lw2 U' : [U' r2 U, R]]</t>
  </si>
  <si>
    <t>[Lw2 U' : [R' U R U', r2]]</t>
  </si>
  <si>
    <t>[Lw2 U : [U r2 U', L']]</t>
  </si>
  <si>
    <t>[Lw2 U : [U r2 U', L2]]</t>
  </si>
  <si>
    <t>[Lw2 U : [U r2 U', L]]</t>
  </si>
  <si>
    <t>[Rw : [l U2 l', D']]</t>
  </si>
  <si>
    <t>[R' : [r U r', D2]]</t>
  </si>
  <si>
    <t>[Lw : [U2 r U2, Lw U2 Lw']]</t>
  </si>
  <si>
    <t>[L : [r U r', D2]]</t>
  </si>
  <si>
    <t>[U : [R', U r U']]</t>
  </si>
  <si>
    <t>[R', U r U']</t>
  </si>
  <si>
    <t>[U' : [U' R' U, r]]</t>
  </si>
  <si>
    <t>[Lw' U : [R', U r U']]</t>
  </si>
  <si>
    <t>[R' : [U r U', R2]]</t>
  </si>
  <si>
    <t>[z' r' : [U' R U, r2]]</t>
  </si>
  <si>
    <t>[Lw2 U2 : [U' R' U, r]]</t>
  </si>
  <si>
    <t>[R' : [U r U', R']]</t>
  </si>
  <si>
    <t>[D' R D, r']</t>
  </si>
  <si>
    <t>[L2 U' : [U' R' U, r]]</t>
  </si>
  <si>
    <t>[R' Uw : [r, U' R U]]</t>
  </si>
  <si>
    <t>[R' : [D', r U r']]</t>
  </si>
  <si>
    <t>[4Uw' : [U' L U, r2]]</t>
  </si>
  <si>
    <t>[z : [l, U' L' U]]</t>
  </si>
  <si>
    <t>[R' U D : [r, U R2 U']]</t>
  </si>
  <si>
    <t>[R' U r : [r, U' L' U]]</t>
  </si>
  <si>
    <t>[x R : [R U' R', u']]</t>
  </si>
  <si>
    <t>[R' : [D2, r U r']]</t>
  </si>
  <si>
    <t>[r' : [U' R' U, r2]]</t>
  </si>
  <si>
    <t>[R' U : [r, U L U']]</t>
  </si>
  <si>
    <t>[Lw U2 Lw', U2 r U2]</t>
  </si>
  <si>
    <t>[Rw : [U' R' U, r2]]</t>
  </si>
  <si>
    <t>[D : [U R2 U', r]]</t>
  </si>
  <si>
    <t>[U' R' U : [r2, U R U']]</t>
  </si>
  <si>
    <t>[r : [U' R U, r2]]</t>
  </si>
  <si>
    <t>[r : [U L' U', r2]]</t>
  </si>
  <si>
    <t>[Lw2 : [Lw U2 Lw', U2 r U2]]</t>
  </si>
  <si>
    <t>[r : [U' R2 U, r2]]</t>
  </si>
  <si>
    <t>[U Rw' : [U R U', r']]</t>
  </si>
  <si>
    <t>[r : [U L2 U', r2]]</t>
  </si>
  <si>
    <t>[r2, U R' U']</t>
  </si>
  <si>
    <t>[r2, U R2 U']</t>
  </si>
  <si>
    <t>[r2, U R U']</t>
  </si>
  <si>
    <t>[r2, R' U R U']</t>
  </si>
  <si>
    <t>[r2, U' L U]</t>
  </si>
  <si>
    <t>[U : [R' U R U', r2]]</t>
  </si>
  <si>
    <t>[r2, U' L' U]</t>
  </si>
  <si>
    <t>[r2, U' L2 U]</t>
  </si>
  <si>
    <t>[Lw : [Lw U2 Lw', U2 r U2]]</t>
  </si>
  <si>
    <t>[r : [U' R' U, r2]]</t>
  </si>
  <si>
    <t>[r : [U L U', r2]]</t>
  </si>
  <si>
    <t>[U' : [L, U' r U]]</t>
  </si>
  <si>
    <t>[U : [U L U', r]]</t>
  </si>
  <si>
    <t>[L, U' r U]</t>
  </si>
  <si>
    <t>[Uw U : [U R' U', r2]]</t>
  </si>
  <si>
    <t>[u : [R D R', u2]]</t>
  </si>
  <si>
    <t>[L : [U' r U, L2]]</t>
  </si>
  <si>
    <t>[Lw2 U' : [L', U' r U]]</t>
  </si>
  <si>
    <t>[R u : [R D R', u2]]</t>
  </si>
  <si>
    <t>[D L' D', r']</t>
  </si>
  <si>
    <t>[L : [U' r U, L]]</t>
  </si>
  <si>
    <t>[u, R D R']</t>
  </si>
  <si>
    <t>[R' u R, D]</t>
  </si>
  <si>
    <t>[R' : [R' u R, D]]</t>
  </si>
  <si>
    <t>[R : [u, R D R']]</t>
  </si>
  <si>
    <t>[Uw' L' : [U r2 U', L2]]</t>
  </si>
  <si>
    <t>[L : [D, r U r']]</t>
  </si>
  <si>
    <t>[Uw' L' : [U r2 U', L']]</t>
  </si>
  <si>
    <t>[L : [D2, r U r']]</t>
  </si>
  <si>
    <t>[R' U : [U L U', r]]</t>
  </si>
  <si>
    <t>[r' : [U L U', r2]]</t>
  </si>
  <si>
    <t xml:space="preserve"> </t>
  </si>
  <si>
    <t>Alg</t>
  </si>
  <si>
    <t>Corresponding targets or Gen'ed</t>
  </si>
  <si>
    <t>Best single time</t>
  </si>
  <si>
    <t># of regrips</t>
  </si>
  <si>
    <t>A (DF-BU)</t>
  </si>
  <si>
    <t>DF-LU-BU (DA)</t>
  </si>
  <si>
    <t>B (DF-RU)</t>
  </si>
  <si>
    <t>M' U r' F R S R' F' R S' U'</t>
  </si>
  <si>
    <t>DF-FU-UB-UL-RU + DF-BU-UF (CWRB+AE)</t>
  </si>
  <si>
    <t>C (DF-FU)</t>
  </si>
  <si>
    <t>U M' U' l F' L' S' L F L' S</t>
  </si>
  <si>
    <t>DF-RU-UL-UB-FU + FU-UL-RU (BRWC+ FU float RB)</t>
  </si>
  <si>
    <t>D (DF-LU)</t>
  </si>
  <si>
    <t>DF-BU-LU (AD)</t>
  </si>
  <si>
    <t>E (DF-UF)</t>
  </si>
  <si>
    <t>(r2 U' R2 B2)2</t>
  </si>
  <si>
    <t>F (DF-RF)</t>
  </si>
  <si>
    <t>r U r' F R S R' F' R S' U' R'</t>
  </si>
  <si>
    <t>H (DF-LF)</t>
  </si>
  <si>
    <t>[E R' : S' M' U M U2 S U]</t>
  </si>
  <si>
    <t>E R' setup to DR alg</t>
  </si>
  <si>
    <t>J (DF-RD)</t>
  </si>
  <si>
    <t>[R : r U r' F R S R' F' R S' U' R']</t>
  </si>
  <si>
    <t>R setup to RF alg</t>
  </si>
  <si>
    <t>K (DF-BD)</t>
  </si>
  <si>
    <t>M' U M' U' M U M U'</t>
  </si>
  <si>
    <t>L (DF-LD)</t>
  </si>
  <si>
    <t>[S U : [M', U2]] (U M' U M)2</t>
  </si>
  <si>
    <t>DF-LD-LU + DF-BU-LU (LD+AD)</t>
  </si>
  <si>
    <t>M (DF-BR)</t>
  </si>
  <si>
    <t>[R : S' M' U M U2 S U]</t>
  </si>
  <si>
    <t>R setup to DR alg</t>
  </si>
  <si>
    <t>N (DF-DR)</t>
  </si>
  <si>
    <t>S' M' U M U2 S U</t>
  </si>
  <si>
    <t>O (DF-FR)</t>
  </si>
  <si>
    <t>[R' : S' M' U M U2 S U]</t>
  </si>
  <si>
    <t>R' setup to DR alg</t>
  </si>
  <si>
    <t>P (DF-UR)</t>
  </si>
  <si>
    <t>[R2 : S' M' U M U2 S U]</t>
  </si>
  <si>
    <t>R2 setup to DR alg</t>
  </si>
  <si>
    <t>Q (DF-BL)</t>
  </si>
  <si>
    <t>U L' U' M' U2 S U' S' l U'</t>
  </si>
  <si>
    <t>U L' U' setup to DL alg, hella cancellations!</t>
  </si>
  <si>
    <t>R (DF-UL)</t>
  </si>
  <si>
    <t>cancel to U perm (DF-UB-UL)</t>
  </si>
  <si>
    <t>S (DF-FL)</t>
  </si>
  <si>
    <t>[E : r U r' F R S R' F' R S' U' R']</t>
  </si>
  <si>
    <t>E setup to RF alg</t>
  </si>
  <si>
    <t>T (DF-DL)</t>
  </si>
  <si>
    <t>M' U2 S U' S' M U'</t>
  </si>
  <si>
    <t>U (DF-DB)</t>
  </si>
  <si>
    <t>M2 U M2 U2 M' U2 M' U M2 U2</t>
  </si>
  <si>
    <t>V (DF-RB)</t>
  </si>
  <si>
    <t>R' M' U r' F R S R' F' R S' U' R</t>
  </si>
  <si>
    <t>R' setup to RU alg</t>
  </si>
  <si>
    <t>W (DF-UB)</t>
  </si>
  <si>
    <t>cancel to U perm (DF-UL-UB)</t>
  </si>
  <si>
    <t>Y (DF-LB)</t>
  </si>
  <si>
    <t>[E' R : S' M' U M U2 S U]</t>
  </si>
  <si>
    <t>E' R setup to DR alg</t>
  </si>
  <si>
    <t>Averages:</t>
  </si>
  <si>
    <t>Explanation or Cube Explorer</t>
  </si>
  <si>
    <t>A (UF-UB)</t>
  </si>
  <si>
    <t>UF-UL-UB</t>
  </si>
  <si>
    <t>B (UF-UR)</t>
  </si>
  <si>
    <t xml:space="preserve">U' M' U M2 U M2 U M' U2 M2 </t>
  </si>
  <si>
    <t>Z perm</t>
  </si>
  <si>
    <t>D (UF-UL)</t>
  </si>
  <si>
    <t>UF-UB-UL</t>
  </si>
  <si>
    <t>F (UF-FR)</t>
  </si>
  <si>
    <t>[F R' : S' M' U M U2 S U]</t>
  </si>
  <si>
    <t>F' to DF-RF+UL-UB 2e2e</t>
  </si>
  <si>
    <t>G (UF-FD)</t>
  </si>
  <si>
    <t>H (UF-FL)</t>
  </si>
  <si>
    <t>[E F : r U r' F R S R' F' R S' U' R']</t>
  </si>
  <si>
    <t>E F to DF-RF+UL-UB 2e2e</t>
  </si>
  <si>
    <t>I (UF-DF)</t>
  </si>
  <si>
    <t>M' U2 M U M2 U' M U2 M' U' M2 U</t>
  </si>
  <si>
    <t>Cube Explorer</t>
  </si>
  <si>
    <t>J (UF-DR)</t>
  </si>
  <si>
    <t>M' S' U S M U M' U2 M</t>
  </si>
  <si>
    <t>K (UF-DB)</t>
  </si>
  <si>
    <t>M U2 M' U' M' U2 M' U' M U2 M</t>
  </si>
  <si>
    <t>M U2 M' cancel into DB comm</t>
  </si>
  <si>
    <t>L (UF-DL)</t>
  </si>
  <si>
    <t>[D : (r2 U' R2 B2)2]</t>
  </si>
  <si>
    <t>D to UF-DF+UL-UB 2e2e</t>
  </si>
  <si>
    <t>M (UF-RB)</t>
  </si>
  <si>
    <t>R U' S' U R B' R' S R B R2</t>
  </si>
  <si>
    <t>N (UF-RD)</t>
  </si>
  <si>
    <t>[x' : R U' R' E' R U R' F' E F]</t>
  </si>
  <si>
    <t>O (UF-RF)</t>
  </si>
  <si>
    <t>[F : r U r' F R S R' F' R S' U' R']</t>
  </si>
  <si>
    <t>F to DF-RF+UL-UB 2e2e</t>
  </si>
  <si>
    <t>P (UF-RU)</t>
  </si>
  <si>
    <t>R' B' R' S' R B R' U' S U R2</t>
  </si>
  <si>
    <t>Q (UF-LB)</t>
  </si>
  <si>
    <t>U2 R E' R' U R E R' M2 U M U2 M' U M2 U</t>
  </si>
  <si>
    <t>UF-LB-UL cancel into UF-UB-UL</t>
  </si>
  <si>
    <t>R (UF-LU)</t>
  </si>
  <si>
    <t>UF-BU-LU</t>
  </si>
  <si>
    <t>S (UF-LF)</t>
  </si>
  <si>
    <t>[F2 : r U r' F R S R' F' R S' U' R']</t>
  </si>
  <si>
    <t>F2 to DF-RF+UL-UB 2e2e</t>
  </si>
  <si>
    <t>T (UF-LD)</t>
  </si>
  <si>
    <t>[D : U M' U' l F' L' S' L F L' S]</t>
  </si>
  <si>
    <t>D to UF-FD+UL-UB 2e2e</t>
  </si>
  <si>
    <t>U (UF-BD)</t>
  </si>
  <si>
    <t>M U M' U M U M U M U2 M' U M2 U</t>
  </si>
  <si>
    <t>UF-BD-UL cancel into UF-UB-UL</t>
  </si>
  <si>
    <t>V (UF-BR)</t>
  </si>
  <si>
    <t>r U2 M U' M' S' U' S r'</t>
  </si>
  <si>
    <t>W (UF-BU)</t>
  </si>
  <si>
    <t>UF-LU-BU</t>
  </si>
  <si>
    <t>Y (UF-BL)</t>
  </si>
  <si>
    <t>L U F2 R U R' U' F2 L' U'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</si>
  <si>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</si>
  <si>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</si>
  <si>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</si>
  <si>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</si>
  <si>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</si>
  <si>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</si>
  <si>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</si>
  <si>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</si>
  <si>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</si>
  <si>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</si>
  <si>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</si>
  <si>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</si>
  <si>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</si>
  <si>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</si>
  <si>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</si>
  <si>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</si>
  <si>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</si>
  <si>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</si>
  <si>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</si>
  <si>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</si>
  <si>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</si>
  <si>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</si>
  <si>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</si>
  <si>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</si>
  <si>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abs</t>
  </si>
  <si>
    <t>AC</t>
  </si>
  <si>
    <t>ad</t>
  </si>
  <si>
    <t>Ace Ventura</t>
  </si>
  <si>
    <t>afterparty</t>
  </si>
  <si>
    <t>silver</t>
  </si>
  <si>
    <t>Ash Ketchum</t>
  </si>
  <si>
    <t>AI</t>
  </si>
  <si>
    <t>AJ</t>
  </si>
  <si>
    <t>alakazam</t>
  </si>
  <si>
    <t>ale</t>
  </si>
  <si>
    <t>arm</t>
  </si>
  <si>
    <t>ant</t>
  </si>
  <si>
    <t>Ayo</t>
  </si>
  <si>
    <t>apple</t>
  </si>
  <si>
    <t>aquarium</t>
  </si>
  <si>
    <t>arbok</t>
  </si>
  <si>
    <t>ass</t>
  </si>
  <si>
    <t>attack</t>
  </si>
  <si>
    <t>Australian</t>
  </si>
  <si>
    <t>AVE</t>
  </si>
  <si>
    <t>"awwwww"</t>
  </si>
  <si>
    <t>Allie</t>
  </si>
  <si>
    <t>"baaaaahhhh"</t>
  </si>
  <si>
    <t>bacon</t>
  </si>
  <si>
    <t>bed</t>
  </si>
  <si>
    <t>bee</t>
  </si>
  <si>
    <t>beef</t>
  </si>
  <si>
    <t>bag</t>
  </si>
  <si>
    <t>bitch</t>
  </si>
  <si>
    <t>bye</t>
  </si>
  <si>
    <t>blowjob</t>
  </si>
  <si>
    <t>bike</t>
  </si>
  <si>
    <t>ball</t>
  </si>
  <si>
    <t>boom/explosion</t>
  </si>
  <si>
    <t>Ben Kenna</t>
  </si>
  <si>
    <t>Bo Lee</t>
  </si>
  <si>
    <t>beep/honk</t>
  </si>
  <si>
    <t>BBQ</t>
  </si>
  <si>
    <t>bear</t>
  </si>
  <si>
    <t>Betsy</t>
  </si>
  <si>
    <t>bat</t>
  </si>
  <si>
    <t>Boo</t>
  </si>
  <si>
    <t>beaver</t>
  </si>
  <si>
    <t>bow</t>
  </si>
  <si>
    <t>little boy</t>
  </si>
  <si>
    <t>California flag</t>
  </si>
  <si>
    <t>corn on the cob</t>
  </si>
  <si>
    <t>Call of Duty</t>
  </si>
  <si>
    <t>Celina</t>
  </si>
  <si>
    <t>Cuff</t>
  </si>
  <si>
    <t>cog</t>
  </si>
  <si>
    <t>cash</t>
  </si>
  <si>
    <t>city</t>
  </si>
  <si>
    <t>cage</t>
  </si>
  <si>
    <t>cake</t>
  </si>
  <si>
    <t>call</t>
  </si>
  <si>
    <t>clam</t>
  </si>
  <si>
    <t>cone</t>
  </si>
  <si>
    <t>coffee</t>
  </si>
  <si>
    <t>cops</t>
  </si>
  <si>
    <t>co-quail</t>
  </si>
  <si>
    <t>car</t>
  </si>
  <si>
    <t>case</t>
  </si>
  <si>
    <t>cat</t>
  </si>
  <si>
    <t>cup</t>
  </si>
  <si>
    <t>cave</t>
  </si>
  <si>
    <t>cow</t>
  </si>
  <si>
    <t>clay</t>
  </si>
  <si>
    <t>dad</t>
  </si>
  <si>
    <t>dab</t>
  </si>
  <si>
    <t>dc</t>
  </si>
  <si>
    <t>Dee-Dee</t>
  </si>
  <si>
    <t>deaf</t>
  </si>
  <si>
    <t>dig</t>
  </si>
  <si>
    <t>dish</t>
  </si>
  <si>
    <t>dynamite</t>
  </si>
  <si>
    <t>DJ</t>
  </si>
  <si>
    <t>dick</t>
  </si>
  <si>
    <t>doll</t>
  </si>
  <si>
    <t>dam</t>
  </si>
  <si>
    <t>dragon</t>
  </si>
  <si>
    <t>doe</t>
  </si>
  <si>
    <t>dip</t>
  </si>
  <si>
    <t>Dairy Queen</t>
  </si>
  <si>
    <t>door</t>
  </si>
  <si>
    <t>diss</t>
  </si>
  <si>
    <t>dippin dots</t>
  </si>
  <si>
    <t>doo-doo</t>
  </si>
  <si>
    <t>dive</t>
  </si>
  <si>
    <t>draw</t>
  </si>
  <si>
    <t>Dory</t>
  </si>
  <si>
    <t>EA skate</t>
  </si>
  <si>
    <t>ebony</t>
  </si>
  <si>
    <t>easy</t>
  </si>
  <si>
    <t>Ed</t>
  </si>
  <si>
    <t>effort</t>
  </si>
  <si>
    <t>egg</t>
  </si>
  <si>
    <t>Earth</t>
  </si>
  <si>
    <t>Einstein</t>
  </si>
  <si>
    <t>ejaculate</t>
  </si>
  <si>
    <t>"eek!!!!"</t>
  </si>
  <si>
    <t>eel</t>
  </si>
  <si>
    <t>Em</t>
  </si>
  <si>
    <t>Ender</t>
  </si>
  <si>
    <t>EO</t>
  </si>
  <si>
    <t>ep</t>
  </si>
  <si>
    <t>equality</t>
  </si>
  <si>
    <t>ear</t>
  </si>
  <si>
    <t>Es</t>
  </si>
  <si>
    <t>eat</t>
  </si>
  <si>
    <t>European</t>
  </si>
  <si>
    <t>Eevee</t>
  </si>
  <si>
    <t>Ewok</t>
  </si>
  <si>
    <t>Ellie</t>
  </si>
  <si>
    <t>fart</t>
  </si>
  <si>
    <t>fabulous</t>
  </si>
  <si>
    <t>FMC</t>
  </si>
  <si>
    <t>food</t>
  </si>
  <si>
    <t>flee</t>
  </si>
  <si>
    <t>fig newton</t>
  </si>
  <si>
    <t>fish</t>
  </si>
  <si>
    <t>fight</t>
  </si>
  <si>
    <t>fudge</t>
  </si>
  <si>
    <t>fuck</t>
  </si>
  <si>
    <t>fall</t>
  </si>
  <si>
    <t>family</t>
  </si>
  <si>
    <t>fan</t>
  </si>
  <si>
    <t>foe</t>
  </si>
  <si>
    <t>fap</t>
  </si>
  <si>
    <t>FAQ</t>
  </si>
  <si>
    <t>flare</t>
  </si>
  <si>
    <t>fossil</t>
  </si>
  <si>
    <t>fat</t>
  </si>
  <si>
    <t>FUBU</t>
  </si>
  <si>
    <t>high-five</t>
  </si>
  <si>
    <t>ferris wheel</t>
  </si>
  <si>
    <t>Faye</t>
  </si>
  <si>
    <t>grandma</t>
  </si>
  <si>
    <t>grab</t>
  </si>
  <si>
    <t>gameboy color</t>
  </si>
  <si>
    <t>god</t>
  </si>
  <si>
    <t>genie</t>
  </si>
  <si>
    <t>Gaffer Gamgee</t>
  </si>
  <si>
    <t>Tim Goh</t>
  </si>
  <si>
    <t>G.I. Joe</t>
  </si>
  <si>
    <t>"good job!"</t>
  </si>
  <si>
    <t>geek</t>
  </si>
  <si>
    <t>girl</t>
  </si>
  <si>
    <t>graham crackers</t>
  </si>
  <si>
    <t>gun</t>
  </si>
  <si>
    <t>goo</t>
  </si>
  <si>
    <t>gap</t>
  </si>
  <si>
    <t>GQ models</t>
  </si>
  <si>
    <t>gore</t>
  </si>
  <si>
    <t>gas</t>
  </si>
  <si>
    <t>Game of Thrones</t>
  </si>
  <si>
    <t>glue</t>
  </si>
  <si>
    <t>grave</t>
  </si>
  <si>
    <t>grow</t>
  </si>
  <si>
    <t>gay</t>
  </si>
  <si>
    <t>"ha!"</t>
  </si>
  <si>
    <t>husband</t>
  </si>
  <si>
    <t>hardcore</t>
  </si>
  <si>
    <t>head</t>
  </si>
  <si>
    <t>He-Man</t>
  </si>
  <si>
    <t>Hugh Hefner</t>
  </si>
  <si>
    <t>hug</t>
  </si>
  <si>
    <t>high</t>
  </si>
  <si>
    <t>handjob</t>
  </si>
  <si>
    <t>hick</t>
  </si>
  <si>
    <t>hail</t>
  </si>
  <si>
    <t>hammer</t>
  </si>
  <si>
    <t>honey</t>
  </si>
  <si>
    <t>hoe</t>
  </si>
  <si>
    <t>hipsters</t>
  </si>
  <si>
    <t>headquarters</t>
  </si>
  <si>
    <t>hair</t>
  </si>
  <si>
    <t>hose</t>
  </si>
  <si>
    <t>hat</t>
  </si>
  <si>
    <t>hulu</t>
  </si>
  <si>
    <t>hive</t>
  </si>
  <si>
    <t>hawk</t>
  </si>
  <si>
    <t>hickey</t>
  </si>
  <si>
    <t>Isa Beniston</t>
  </si>
  <si>
    <t>Imperial Beach</t>
  </si>
  <si>
    <t>Ice Cube</t>
  </si>
  <si>
    <t>ID</t>
  </si>
  <si>
    <t>ice</t>
  </si>
  <si>
    <t>iff/if and only if</t>
  </si>
  <si>
    <t>instagram</t>
  </si>
  <si>
    <t>Ishaan</t>
  </si>
  <si>
    <t>inject</t>
  </si>
  <si>
    <t>Mike 'n' Ikes</t>
  </si>
  <si>
    <t>island</t>
  </si>
  <si>
    <t>instant messenger</t>
  </si>
  <si>
    <t>inside</t>
  </si>
  <si>
    <t>Io</t>
  </si>
  <si>
    <t>iphone</t>
  </si>
  <si>
    <t>IQ test</t>
  </si>
  <si>
    <t>iron</t>
  </si>
  <si>
    <t>Isis</t>
  </si>
  <si>
    <t>It</t>
  </si>
  <si>
    <t>ICU</t>
  </si>
  <si>
    <t>ivysaur</t>
  </si>
  <si>
    <t>"I win!"</t>
  </si>
  <si>
    <t>icy</t>
  </si>
  <si>
    <t>shedinja</t>
  </si>
  <si>
    <t>job</t>
  </si>
  <si>
    <t>Jacob Posner</t>
  </si>
  <si>
    <t>Jeb Bush</t>
  </si>
  <si>
    <t>jester</t>
  </si>
  <si>
    <t>Jeff</t>
  </si>
  <si>
    <t>jog</t>
  </si>
  <si>
    <t>Josh</t>
  </si>
  <si>
    <t>Jedi</t>
  </si>
  <si>
    <t>Jake</t>
  </si>
  <si>
    <t>jail</t>
  </si>
  <si>
    <t>jam</t>
  </si>
  <si>
    <t>Jon Snow</t>
  </si>
  <si>
    <t>Joe</t>
  </si>
  <si>
    <t>japanese</t>
  </si>
  <si>
    <t>Jaqen H'ghar</t>
  </si>
  <si>
    <t>jar</t>
  </si>
  <si>
    <t>Jess</t>
  </si>
  <si>
    <t>Jet</t>
  </si>
  <si>
    <t>Julian</t>
  </si>
  <si>
    <t>jive</t>
  </si>
  <si>
    <t>jaw</t>
  </si>
  <si>
    <t>Jayden Mcneill</t>
  </si>
  <si>
    <t>katana</t>
  </si>
  <si>
    <t>kibble</t>
  </si>
  <si>
    <t>Kacey</t>
  </si>
  <si>
    <t>kid</t>
  </si>
  <si>
    <t>Kehana</t>
  </si>
  <si>
    <t>keef</t>
  </si>
  <si>
    <t>keg</t>
  </si>
  <si>
    <t>kitchen</t>
  </si>
  <si>
    <t>Kai</t>
  </si>
  <si>
    <t>Kellen James</t>
  </si>
  <si>
    <t>kill</t>
  </si>
  <si>
    <t>Kim</t>
  </si>
  <si>
    <t>kin</t>
  </si>
  <si>
    <t>koala</t>
  </si>
  <si>
    <t>Kip</t>
  </si>
  <si>
    <t>kill Quinn</t>
  </si>
  <si>
    <t>Kerr effect</t>
  </si>
  <si>
    <t>kiss</t>
  </si>
  <si>
    <t>Kit Clement</t>
  </si>
  <si>
    <t>kookoo</t>
  </si>
  <si>
    <t>Yuri Kivshar</t>
  </si>
  <si>
    <t>King of the Woogies</t>
  </si>
  <si>
    <t>KY lube</t>
  </si>
  <si>
    <t>"Lalalala"</t>
  </si>
  <si>
    <t>lab</t>
  </si>
  <si>
    <t>LC Cuber</t>
  </si>
  <si>
    <t>lead</t>
  </si>
  <si>
    <t>Lee</t>
  </si>
  <si>
    <t>leaf</t>
  </si>
  <si>
    <t>leg</t>
  </si>
  <si>
    <t>Lash</t>
  </si>
  <si>
    <t>lie</t>
  </si>
  <si>
    <t>La Jolla</t>
  </si>
  <si>
    <t>lick</t>
  </si>
  <si>
    <t>lamb</t>
  </si>
  <si>
    <t>Brandon Lin</t>
  </si>
  <si>
    <t>Lauren</t>
  </si>
  <si>
    <t>lip</t>
  </si>
  <si>
    <t>liquor</t>
  </si>
  <si>
    <t>ladder</t>
  </si>
  <si>
    <t>lass</t>
  </si>
  <si>
    <t>light</t>
  </si>
  <si>
    <t>Lulu</t>
  </si>
  <si>
    <t>liver</t>
  </si>
  <si>
    <t>law</t>
  </si>
  <si>
    <t>lay</t>
  </si>
  <si>
    <t>mama</t>
  </si>
  <si>
    <t>mob</t>
  </si>
  <si>
    <t>microphone</t>
  </si>
  <si>
    <t>mad</t>
  </si>
  <si>
    <t>me</t>
  </si>
  <si>
    <t>MF DOOM</t>
  </si>
  <si>
    <t>magazine</t>
  </si>
  <si>
    <t>match</t>
  </si>
  <si>
    <t>Mimi</t>
  </si>
  <si>
    <t>Michael Jordan</t>
  </si>
  <si>
    <t>Michael</t>
  </si>
  <si>
    <t>mall</t>
  </si>
  <si>
    <t>minion</t>
  </si>
  <si>
    <t>moo</t>
  </si>
  <si>
    <t>map</t>
  </si>
  <si>
    <t>mannequin</t>
  </si>
  <si>
    <t>Mario</t>
  </si>
  <si>
    <t>mess</t>
  </si>
  <si>
    <t>mitt</t>
  </si>
  <si>
    <t>muumuu</t>
  </si>
  <si>
    <t>Maven</t>
  </si>
  <si>
    <t>mow</t>
  </si>
  <si>
    <t>May</t>
  </si>
  <si>
    <t>"nahhhhhh"</t>
  </si>
  <si>
    <t>nob</t>
  </si>
  <si>
    <t>North Carolina</t>
  </si>
  <si>
    <t>Ned Stark</t>
  </si>
  <si>
    <t>nether</t>
  </si>
  <si>
    <t>Neff</t>
  </si>
  <si>
    <t>nug</t>
  </si>
  <si>
    <t>Graham Nash</t>
  </si>
  <si>
    <t>Knights who say "Ni"</t>
  </si>
  <si>
    <t>ninja</t>
  </si>
  <si>
    <t>Nick</t>
  </si>
  <si>
    <t>nail</t>
  </si>
  <si>
    <t>Nemo</t>
  </si>
  <si>
    <t>nose</t>
  </si>
  <si>
    <t>nap</t>
  </si>
  <si>
    <t>Ryan Nyquist</t>
  </si>
  <si>
    <t>NAR</t>
  </si>
  <si>
    <t>Ness</t>
  </si>
  <si>
    <t>net</t>
  </si>
  <si>
    <t>Nubi</t>
  </si>
  <si>
    <t>navel</t>
  </si>
  <si>
    <t>newspaper</t>
  </si>
  <si>
    <t>Bill Nye</t>
  </si>
  <si>
    <t>OSA</t>
  </si>
  <si>
    <t>Ocean Beach</t>
  </si>
  <si>
    <t>Orange County</t>
  </si>
  <si>
    <t>overdose</t>
  </si>
  <si>
    <t>Old English</t>
  </si>
  <si>
    <t>koffing</t>
  </si>
  <si>
    <t>original gangsters</t>
  </si>
  <si>
    <t>one-handed</t>
  </si>
  <si>
    <t>oil</t>
  </si>
  <si>
    <t>orange juice</t>
  </si>
  <si>
    <t>"ok"</t>
  </si>
  <si>
    <t>owl</t>
  </si>
  <si>
    <t>"om"</t>
  </si>
  <si>
    <t>porygon</t>
  </si>
  <si>
    <t>old people</t>
  </si>
  <si>
    <t>"ohhh Quinn..."</t>
  </si>
  <si>
    <t>ore</t>
  </si>
  <si>
    <t>ostrich</t>
  </si>
  <si>
    <t>otter</t>
  </si>
  <si>
    <t>"out!"</t>
  </si>
  <si>
    <t>oven</t>
  </si>
  <si>
    <t>"ow!"</t>
  </si>
  <si>
    <t>oyster</t>
  </si>
  <si>
    <t>Pa</t>
  </si>
  <si>
    <t>pebble</t>
  </si>
  <si>
    <t>PAC</t>
  </si>
  <si>
    <t>pad</t>
  </si>
  <si>
    <t>pea</t>
  </si>
  <si>
    <t>puff</t>
  </si>
  <si>
    <t>pig</t>
  </si>
  <si>
    <t>pitch</t>
  </si>
  <si>
    <t>pie</t>
  </si>
  <si>
    <t>P.J.</t>
  </si>
  <si>
    <t>pick</t>
  </si>
  <si>
    <t>pill</t>
  </si>
  <si>
    <t>Pam</t>
  </si>
  <si>
    <t>pen</t>
  </si>
  <si>
    <t>poo</t>
  </si>
  <si>
    <t>Rancho Penasquitos</t>
  </si>
  <si>
    <t>pour</t>
  </si>
  <si>
    <t>possum</t>
  </si>
  <si>
    <t>pet</t>
  </si>
  <si>
    <t>puppy</t>
  </si>
  <si>
    <t>pervert</t>
  </si>
  <si>
    <t>pow/punch</t>
  </si>
  <si>
    <t>pay</t>
  </si>
  <si>
    <t>Q and A</t>
  </si>
  <si>
    <t>quarterback</t>
  </si>
  <si>
    <t>quack</t>
  </si>
  <si>
    <t>quad</t>
  </si>
  <si>
    <t>queen</t>
  </si>
  <si>
    <t>queef</t>
  </si>
  <si>
    <t>Quagmire</t>
  </si>
  <si>
    <t>quidditch</t>
  </si>
  <si>
    <t>Quickly's</t>
  </si>
  <si>
    <t>QJ cube</t>
  </si>
  <si>
    <t>quick</t>
  </si>
  <si>
    <t>quill</t>
  </si>
  <si>
    <t>Quail-Man</t>
  </si>
  <si>
    <t>Quinn</t>
  </si>
  <si>
    <t>quote</t>
  </si>
  <si>
    <t>quarterpipe</t>
  </si>
  <si>
    <t>quarter</t>
  </si>
  <si>
    <t>quiz</t>
  </si>
  <si>
    <t>quit</t>
  </si>
  <si>
    <t>cuties</t>
  </si>
  <si>
    <t>quiver</t>
  </si>
  <si>
    <t>quick-witted</t>
  </si>
  <si>
    <t>cube</t>
  </si>
  <si>
    <t>rally</t>
  </si>
  <si>
    <t>rub</t>
  </si>
  <si>
    <t>RC car</t>
  </si>
  <si>
    <t>red</t>
  </si>
  <si>
    <t>real skateboard</t>
  </si>
  <si>
    <t>referee</t>
  </si>
  <si>
    <t>rug</t>
  </si>
  <si>
    <t>rash</t>
  </si>
  <si>
    <t>Riley</t>
  </si>
  <si>
    <t>Ra's Al Ghul</t>
  </si>
  <si>
    <t>Rick Grimes</t>
  </si>
  <si>
    <t>rail</t>
  </si>
  <si>
    <t>ram</t>
  </si>
  <si>
    <t>run</t>
  </si>
  <si>
    <t>Rowe Hessler</t>
  </si>
  <si>
    <t>rap</t>
  </si>
  <si>
    <t>Raekwon</t>
  </si>
  <si>
    <t>Ross Geller</t>
  </si>
  <si>
    <t>rat</t>
  </si>
  <si>
    <t>ruler</t>
  </si>
  <si>
    <t>rave</t>
  </si>
  <si>
    <t>raw</t>
  </si>
  <si>
    <t>Ray</t>
  </si>
  <si>
    <t>essay</t>
  </si>
  <si>
    <t>skateboard</t>
  </si>
  <si>
    <t>scare</t>
  </si>
  <si>
    <t>sad</t>
  </si>
  <si>
    <t>See's candy</t>
  </si>
  <si>
    <t>safe</t>
  </si>
  <si>
    <t>segway</t>
  </si>
  <si>
    <t>"shhhh!"</t>
  </si>
  <si>
    <t>si, senor</t>
  </si>
  <si>
    <t>San Jose</t>
  </si>
  <si>
    <t>skunk</t>
  </si>
  <si>
    <t>sell</t>
  </si>
  <si>
    <t>Sam</t>
  </si>
  <si>
    <t>sin</t>
  </si>
  <si>
    <t>soap</t>
  </si>
  <si>
    <t>sip</t>
  </si>
  <si>
    <t>squirtle</t>
  </si>
  <si>
    <t>soccer</t>
  </si>
  <si>
    <t>sit</t>
  </si>
  <si>
    <t>Hikaru Sulu</t>
  </si>
  <si>
    <t>save</t>
  </si>
  <si>
    <t>sew</t>
  </si>
  <si>
    <t>soy sauce</t>
  </si>
  <si>
    <t>"tada!"</t>
  </si>
  <si>
    <t>tab</t>
  </si>
  <si>
    <t>tic tac</t>
  </si>
  <si>
    <t>Todd</t>
  </si>
  <si>
    <t>tee-shirt</t>
  </si>
  <si>
    <t>taffy</t>
  </si>
  <si>
    <t>tug</t>
  </si>
  <si>
    <t>Tosh.0</t>
  </si>
  <si>
    <t>T.I.</t>
  </si>
  <si>
    <t>Taj Mahal</t>
  </si>
  <si>
    <t>tick</t>
  </si>
  <si>
    <t>tile</t>
  </si>
  <si>
    <t>Tom</t>
  </si>
  <si>
    <t>tan</t>
  </si>
  <si>
    <t>toe</t>
  </si>
  <si>
    <t>tape</t>
  </si>
  <si>
    <t>Takis</t>
  </si>
  <si>
    <t>tar</t>
  </si>
  <si>
    <t>Tess</t>
  </si>
  <si>
    <t>tutu</t>
  </si>
  <si>
    <t>television</t>
  </si>
  <si>
    <t>tow</t>
  </si>
  <si>
    <t>Taylor</t>
  </si>
  <si>
    <t>Lt. Uhura</t>
  </si>
  <si>
    <t>Umber</t>
  </si>
  <si>
    <t>unicycle</t>
  </si>
  <si>
    <t>udder</t>
  </si>
  <si>
    <t>ukelele</t>
  </si>
  <si>
    <t>UFO</t>
  </si>
  <si>
    <t>ugg boots</t>
  </si>
  <si>
    <t>Usher</t>
  </si>
  <si>
    <t>urinary tract infection</t>
  </si>
  <si>
    <t>uninject</t>
  </si>
  <si>
    <t>Uruk-Hai</t>
  </si>
  <si>
    <t>Ulric Stormcloack</t>
  </si>
  <si>
    <t>Gans UM</t>
  </si>
  <si>
    <t>United Nations</t>
  </si>
  <si>
    <t>"you owe me"</t>
  </si>
  <si>
    <t>the movie "Up"</t>
  </si>
  <si>
    <t>"you're a cutie"</t>
  </si>
  <si>
    <t>urine</t>
  </si>
  <si>
    <t>united states</t>
  </si>
  <si>
    <t>uterus</t>
  </si>
  <si>
    <t>uv laser</t>
  </si>
  <si>
    <t>"you win!"</t>
  </si>
  <si>
    <t>juicy fruit</t>
  </si>
  <si>
    <t>Virginian</t>
  </si>
  <si>
    <t>volleyball</t>
  </si>
  <si>
    <t>Viet-Cong</t>
  </si>
  <si>
    <t>video</t>
  </si>
  <si>
    <t>Vikalp</t>
  </si>
  <si>
    <t>venus flytrap</t>
  </si>
  <si>
    <t>vignetting</t>
  </si>
  <si>
    <t>Vishnu</t>
  </si>
  <si>
    <t>villian</t>
  </si>
  <si>
    <t>vagina</t>
  </si>
  <si>
    <t>Vickie</t>
  </si>
  <si>
    <t>veil</t>
  </si>
  <si>
    <t>vampire</t>
  </si>
  <si>
    <t>vine</t>
  </si>
  <si>
    <t>Richard Vo</t>
  </si>
  <si>
    <t>vice president</t>
  </si>
  <si>
    <t>ventriloquist</t>
  </si>
  <si>
    <t>virtual reality</t>
  </si>
  <si>
    <t>visor</t>
  </si>
  <si>
    <t>veterinarian</t>
  </si>
  <si>
    <t>voodoo</t>
  </si>
  <si>
    <t>VW car</t>
  </si>
  <si>
    <t>vary</t>
  </si>
  <si>
    <t>water</t>
  </si>
  <si>
    <t>web</t>
  </si>
  <si>
    <t>wick</t>
  </si>
  <si>
    <t>wood</t>
  </si>
  <si>
    <t>wemon</t>
  </si>
  <si>
    <t>wife</t>
  </si>
  <si>
    <t>wig</t>
  </si>
  <si>
    <t>wash</t>
  </si>
  <si>
    <t>Nintendo Wii</t>
  </si>
  <si>
    <t>wedge</t>
  </si>
  <si>
    <t>weakling</t>
  </si>
  <si>
    <t>Will</t>
  </si>
  <si>
    <t>Wham!</t>
  </si>
  <si>
    <t>wine</t>
  </si>
  <si>
    <t>Riley Woo</t>
  </si>
  <si>
    <t>whip</t>
  </si>
  <si>
    <t>with Quinn</t>
  </si>
  <si>
    <t>wearing</t>
  </si>
  <si>
    <t>Wes Kremer</t>
  </si>
  <si>
    <t>wet</t>
  </si>
  <si>
    <t>Wu-Tang Clan</t>
  </si>
  <si>
    <t>wave</t>
  </si>
  <si>
    <t>worry</t>
  </si>
  <si>
    <t>"yaaaaa"</t>
  </si>
  <si>
    <t>youtube</t>
  </si>
  <si>
    <t>YMCA</t>
  </si>
  <si>
    <t>Yoda</t>
  </si>
  <si>
    <t>"yeeeeeee"</t>
  </si>
  <si>
    <t>yellow flower</t>
  </si>
  <si>
    <t>yoga</t>
  </si>
  <si>
    <t>yacht</t>
  </si>
  <si>
    <t>Dana Yi</t>
  </si>
  <si>
    <t>YJ cube</t>
  </si>
  <si>
    <t>yak</t>
  </si>
  <si>
    <t>yell</t>
  </si>
  <si>
    <t>yams</t>
  </si>
  <si>
    <t>yen</t>
  </si>
  <si>
    <t>yo-yo</t>
  </si>
  <si>
    <t>yap</t>
  </si>
  <si>
    <t>"why quinn"</t>
  </si>
  <si>
    <t>year</t>
  </si>
  <si>
    <t>Yes</t>
  </si>
  <si>
    <t>yeti</t>
  </si>
  <si>
    <t>Albert You</t>
  </si>
  <si>
    <t>Young Vett</t>
  </si>
  <si>
    <t>Robert Yau</t>
  </si>
  <si>
    <t>THIS SHEET IS OUTDATED, I have been working on an updated letter pair spreadsheet, including distinct letter pairs for all floating cases here:</t>
  </si>
  <si>
    <t>https://docs.google.com/spreadsheets/d/1SPiM7QmqXG8HN7iymG8V4O734JP76XOSn7dfijru_Yk/edit#gid=0</t>
  </si>
  <si>
    <t>0 (A)</t>
  </si>
  <si>
    <t>1 (B)</t>
  </si>
  <si>
    <t>2 (C)</t>
  </si>
  <si>
    <t>3 (D)</t>
  </si>
  <si>
    <t>4 (E)</t>
  </si>
  <si>
    <t>5 (F)</t>
  </si>
  <si>
    <t>6 (G)</t>
  </si>
  <si>
    <t>7 (H)</t>
  </si>
  <si>
    <t>8 (I)</t>
  </si>
  <si>
    <t>9 (J)</t>
  </si>
  <si>
    <t>Al Anon</t>
  </si>
  <si>
    <t>ABdominals</t>
  </si>
  <si>
    <t>Air Conditioning</t>
  </si>
  <si>
    <t>ADvertisement</t>
  </si>
  <si>
    <t>AcE ventura</t>
  </si>
  <si>
    <t>AFterparty</t>
  </si>
  <si>
    <t>AnG</t>
  </si>
  <si>
    <t>AsH Ketchum</t>
  </si>
  <si>
    <t>Artificial Intelligence</t>
  </si>
  <si>
    <t>A.J. Zavala</t>
  </si>
  <si>
    <t>BAylee</t>
  </si>
  <si>
    <t>BiB</t>
  </si>
  <si>
    <t>BiC lighter</t>
  </si>
  <si>
    <t>BaD</t>
  </si>
  <si>
    <t>BEe</t>
  </si>
  <si>
    <t>BeeF</t>
  </si>
  <si>
    <t>BaG</t>
  </si>
  <si>
    <t>BitcH</t>
  </si>
  <si>
    <t>Bye</t>
  </si>
  <si>
    <t>BlowJob</t>
  </si>
  <si>
    <t>CAlifornia</t>
  </si>
  <si>
    <t>CaB</t>
  </si>
  <si>
    <t>CoCk</t>
  </si>
  <si>
    <t>CElina</t>
  </si>
  <si>
    <t>CuFf</t>
  </si>
  <si>
    <t>CoG</t>
  </si>
  <si>
    <t>CasH</t>
  </si>
  <si>
    <t>CIty</t>
  </si>
  <si>
    <t>Cage</t>
  </si>
  <si>
    <t>DAd</t>
  </si>
  <si>
    <t>DaB</t>
  </si>
  <si>
    <t>DC shoes</t>
  </si>
  <si>
    <t>Double D's</t>
  </si>
  <si>
    <t>DEedee</t>
  </si>
  <si>
    <t>DeaF</t>
  </si>
  <si>
    <t>DiG</t>
  </si>
  <si>
    <t>DisH</t>
  </si>
  <si>
    <t>DIe</t>
  </si>
  <si>
    <t>EBony</t>
  </si>
  <si>
    <t>Easy</t>
  </si>
  <si>
    <t>EDd</t>
  </si>
  <si>
    <t>EnginEer</t>
  </si>
  <si>
    <t>trump</t>
  </si>
  <si>
    <t>EGgs</t>
  </si>
  <si>
    <t>EHhh</t>
  </si>
  <si>
    <t>EtaI</t>
  </si>
  <si>
    <t>EJaculate</t>
  </si>
  <si>
    <t>FArt</t>
  </si>
  <si>
    <t>FaBulous</t>
  </si>
  <si>
    <t>FmC</t>
  </si>
  <si>
    <t>FooD</t>
  </si>
  <si>
    <t>FEe</t>
  </si>
  <si>
    <t>FireFighter</t>
  </si>
  <si>
    <t>FiG</t>
  </si>
  <si>
    <t>FisH</t>
  </si>
  <si>
    <t>FIght</t>
  </si>
  <si>
    <t>Fudge</t>
  </si>
  <si>
    <t>GrAndma</t>
  </si>
  <si>
    <t>GraB</t>
  </si>
  <si>
    <t>Gameboy Color</t>
  </si>
  <si>
    <t>GoD</t>
  </si>
  <si>
    <t>GEe</t>
  </si>
  <si>
    <t>GaFfer</t>
  </si>
  <si>
    <t>GaG</t>
  </si>
  <si>
    <t>GasH</t>
  </si>
  <si>
    <t>Good Job</t>
  </si>
  <si>
    <t>HA!</t>
  </si>
  <si>
    <t>HusBand</t>
  </si>
  <si>
    <t>HardCore</t>
  </si>
  <si>
    <t>HeaD</t>
  </si>
  <si>
    <t>HE-man</t>
  </si>
  <si>
    <t>HeFner</t>
  </si>
  <si>
    <t>HuG</t>
  </si>
  <si>
    <t>Ho-oH</t>
  </si>
  <si>
    <t>HI!</t>
  </si>
  <si>
    <t>HandJob</t>
  </si>
  <si>
    <t>IsA</t>
  </si>
  <si>
    <t>Integrated Circuit</t>
  </si>
  <si>
    <t>I.D.</t>
  </si>
  <si>
    <t>IcE</t>
  </si>
  <si>
    <t>IFf</t>
  </si>
  <si>
    <t>InstaGram</t>
  </si>
  <si>
    <t>IsHaan</t>
  </si>
  <si>
    <t>InnIt?!</t>
  </si>
  <si>
    <t>InJect</t>
  </si>
  <si>
    <t>JAah!</t>
  </si>
  <si>
    <t>JoB</t>
  </si>
  <si>
    <t>JaCob</t>
  </si>
  <si>
    <t>JeD</t>
  </si>
  <si>
    <t>JEster</t>
  </si>
  <si>
    <t>JeFF</t>
  </si>
  <si>
    <t>JoG</t>
  </si>
  <si>
    <t>JosH</t>
  </si>
  <si>
    <t>JaI</t>
  </si>
  <si>
    <t>JoJo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</si>
</sst>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1.0"/>
      <color rgb="FF000000"/>
      <name val="Calibri"/>
    </font>
    <font>
      <b/>
    </font>
    <font>
      <b/>
      <u/>
      <color rgb="FF0000FF"/>
    </font>
    <font>
      <u/>
      <color rgb="FF0000FF"/>
    </font>
    <font/>
    <font>
      <color rgb="FF000000"/>
    </font>
    <font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sz val="11.0"/>
    </font>
    <font>
      <sz val="11.0"/>
      <color rgb="FF000000"/>
      <name val="Docs-Calibri"/>
    </font>
    <font>
      <sz val="11.0"/>
      <color rgb="FF000000"/>
      <name val="Inconsolata"/>
    </font>
    <font>
      <sz val="11.0"/>
      <color rgb="FF333333"/>
      <name val="Calibri"/>
    </font>
    <font>
      <color rgb="FFFF0000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1F0F0"/>
        <bgColor rgb="FFF1F0F0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0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3" fontId="0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2" fillId="2" fontId="0" numFmtId="0" xfId="0" applyBorder="1" applyFont="1"/>
    <xf borderId="0" fillId="3" fontId="0" numFmtId="0" xfId="0" applyFont="1"/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shrinkToFit="0" vertical="bottom" wrapText="0"/>
    </xf>
    <xf borderId="0" fillId="0" fontId="0" numFmtId="10" xfId="0" applyAlignment="1" applyFont="1" applyNumberFormat="1">
      <alignment horizontal="right" shrinkToFit="0" vertical="bottom" wrapText="0"/>
    </xf>
    <xf borderId="0" fillId="3" fontId="0" numFmtId="10" xfId="0" applyFont="1" applyNumberFormat="1"/>
    <xf borderId="0" fillId="0" fontId="4" numFmtId="10" xfId="0" applyFont="1" applyNumberFormat="1"/>
    <xf borderId="0" fillId="0" fontId="1" numFmtId="0" xfId="0" applyAlignment="1" applyFont="1">
      <alignment readingOrder="0"/>
    </xf>
    <xf borderId="0" fillId="2" fontId="0" numFmtId="0" xfId="0" applyFont="1"/>
    <xf borderId="0" fillId="3" fontId="0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4" numFmtId="0" xfId="0" applyAlignment="1" applyFont="1">
      <alignment readingOrder="0"/>
    </xf>
    <xf borderId="1" fillId="2" fontId="0" numFmtId="0" xfId="0" applyBorder="1" applyFont="1"/>
    <xf borderId="0" fillId="0" fontId="0" numFmtId="0" xfId="0" applyAlignment="1" applyFont="1">
      <alignment readingOrder="0" shrinkToFit="0" wrapText="0"/>
    </xf>
    <xf borderId="0" fillId="2" fontId="4" numFmtId="0" xfId="0" applyFont="1"/>
    <xf borderId="0" fillId="3" fontId="4" numFmtId="0" xfId="0" applyAlignment="1" applyFont="1">
      <alignment readingOrder="0"/>
    </xf>
    <xf borderId="0" fillId="2" fontId="5" numFmtId="0" xfId="0" applyFont="1"/>
    <xf borderId="0" fillId="3" fontId="0" numFmtId="10" xfId="0" applyAlignment="1" applyFont="1" applyNumberFormat="1">
      <alignment horizontal="right"/>
    </xf>
    <xf borderId="0" fillId="0" fontId="4" numFmtId="10" xfId="0" applyAlignment="1" applyFont="1" applyNumberFormat="1">
      <alignment horizontal="right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2" fontId="8" numFmtId="0" xfId="0" applyAlignment="1" applyFont="1">
      <alignment shrinkToFit="0" wrapText="0"/>
    </xf>
    <xf borderId="0" fillId="3" fontId="0" numFmtId="0" xfId="0" applyAlignment="1" applyFont="1">
      <alignment readingOrder="0" shrinkToFit="0" wrapText="0"/>
    </xf>
    <xf borderId="0" fillId="2" fontId="0" numFmtId="0" xfId="0" applyAlignment="1" applyFont="1">
      <alignment shrinkToFit="0" wrapText="0"/>
    </xf>
    <xf borderId="0" fillId="3" fontId="0" numFmtId="0" xfId="0" applyAlignment="1" applyFont="1">
      <alignment readingOrder="0" shrinkToFit="0" vertical="center" wrapText="0"/>
    </xf>
    <xf borderId="0" fillId="2" fontId="0" numFmtId="0" xfId="0" applyAlignment="1" applyFont="1">
      <alignment readingOrder="0" shrinkToFit="0" wrapText="0"/>
    </xf>
    <xf borderId="0" fillId="3" fontId="9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/>
    </xf>
    <xf borderId="0" fillId="3" fontId="0" numFmtId="0" xfId="0" applyAlignment="1" applyFont="1">
      <alignment horizontal="left" readingOrder="0" shrinkToFit="0" wrapText="0"/>
    </xf>
    <xf borderId="0" fillId="2" fontId="6" numFmtId="0" xfId="0" applyAlignment="1" applyFont="1">
      <alignment readingOrder="0"/>
    </xf>
    <xf borderId="0" fillId="3" fontId="10" numFmtId="0" xfId="0" applyAlignment="1" applyFont="1">
      <alignment horizontal="left" readingOrder="0"/>
    </xf>
    <xf borderId="0" fillId="0" fontId="0" numFmtId="10" xfId="0" applyAlignment="1" applyFont="1" applyNumberFormat="1">
      <alignment shrinkToFit="0" wrapText="0"/>
    </xf>
    <xf borderId="0" fillId="0" fontId="0" numFmtId="10" xfId="0" applyAlignment="1" applyFont="1" applyNumberFormat="1">
      <alignment readingOrder="0" shrinkToFit="0" wrapText="0"/>
    </xf>
    <xf borderId="0" fillId="0" fontId="0" numFmtId="9" xfId="0" applyAlignment="1" applyFont="1" applyNumberFormat="1">
      <alignment readingOrder="0" shrinkToFit="0" wrapText="0"/>
    </xf>
    <xf borderId="0" fillId="3" fontId="4" numFmtId="0" xfId="0" applyFont="1"/>
    <xf borderId="0" fillId="3" fontId="0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Font="1"/>
    <xf borderId="0" fillId="0" fontId="4" numFmtId="0" xfId="0" applyAlignment="1" applyFont="1">
      <alignment readingOrder="0" shrinkToFit="0" wrapText="0"/>
    </xf>
    <xf borderId="0" fillId="4" fontId="4" numFmtId="0" xfId="0" applyFill="1" applyFont="1"/>
    <xf borderId="0" fillId="3" fontId="11" numFmtId="0" xfId="0" applyFont="1"/>
    <xf borderId="0" fillId="2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6" numFmtId="0" xfId="0" applyFont="1"/>
    <xf borderId="0" fillId="0" fontId="0" numFmtId="0" xfId="0" applyFont="1"/>
    <xf borderId="1" fillId="2" fontId="8" numFmtId="0" xfId="0" applyAlignment="1" applyBorder="1" applyFont="1">
      <alignment shrinkToFit="0" wrapText="0"/>
    </xf>
    <xf borderId="1" fillId="2" fontId="0" numFmtId="0" xfId="0" applyAlignment="1" applyBorder="1" applyFont="1">
      <alignment shrinkToFit="0" wrapText="0"/>
    </xf>
    <xf borderId="0" fillId="0" fontId="0" numFmtId="0" xfId="0" applyAlignment="1" applyFont="1">
      <alignment shrinkToFit="0" vertical="center" wrapText="0"/>
    </xf>
    <xf borderId="0" fillId="0" fontId="9" numFmtId="0" xfId="0" applyAlignment="1" applyFont="1">
      <alignment readingOrder="0"/>
    </xf>
    <xf borderId="1" fillId="3" fontId="0" numFmtId="0" xfId="0" applyAlignment="1" applyBorder="1" applyFont="1">
      <alignment horizontal="left" shrinkToFit="0" wrapText="0"/>
    </xf>
    <xf borderId="1" fillId="4" fontId="0" numFmtId="0" xfId="0" applyAlignment="1" applyBorder="1" applyFont="1">
      <alignment shrinkToFit="0" wrapText="0"/>
    </xf>
    <xf borderId="0" fillId="10" fontId="0" numFmtId="0" xfId="0" applyAlignment="1" applyFill="1" applyFont="1">
      <alignment readingOrder="0"/>
    </xf>
    <xf borderId="0" fillId="10" fontId="0" numFmtId="0" xfId="0" applyAlignment="1" applyFont="1">
      <alignment horizontal="left" readingOrder="0"/>
    </xf>
    <xf borderId="1" fillId="3" fontId="0" numFmtId="0" xfId="0" applyAlignment="1" applyBorder="1" applyFont="1">
      <alignment readingOrder="0" shrinkToFit="0" wrapText="0"/>
    </xf>
    <xf borderId="0" fillId="3" fontId="11" numFmtId="10" xfId="0" applyFont="1" applyNumberFormat="1"/>
    <xf borderId="0" fillId="0" fontId="13" numFmtId="0" xfId="0" applyAlignment="1" applyFont="1">
      <alignment readingOrder="0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1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2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4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hyperlink" Target="https://docs.google.com/spreadsheets/d/1SPiM7QmqXG8HN7iymG8V4O734JP76XOSn7dfijru_Yk/edit" TargetMode="External"/><Relationship Id="rId3" Type="http://schemas.openxmlformats.org/officeDocument/2006/relationships/drawing" Target="../drawings/drawing29.xml"/><Relationship Id="rId4" Type="http://schemas.openxmlformats.org/officeDocument/2006/relationships/vmlDrawing" Target="../drawings/vmlDrawing2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1"/>
      <c r="Z1" s="1"/>
    </row>
    <row r="2" ht="16.5" customHeight="1">
      <c r="A2" s="3" t="str">
        <f>HYPERLINK("https://www.youtube.com/watch?v=pvbs5ArR_GI&amp;list=PLO7X-yN2PYzqyZ9KtLmqcCBXzltY8JVwf","A (UB)")</f>
        <v>A (UB)</v>
      </c>
      <c r="B2" s="4"/>
      <c r="C2" s="5" t="str">
        <f>HYPERLINK("https://youtu.be/pvbs5ArR_GI","[R2 U' : [S, R2]]")</f>
        <v>[R2 U' : [S, R2]]</v>
      </c>
      <c r="D2" s="6" t="s">
        <v>23</v>
      </c>
      <c r="E2" s="5" t="str">
        <f>HYPERLINK("https://youtu.be/zlr84VeCmaE","[R' U' : [S, R2]]")</f>
        <v>[R' U' : [S, R2]]</v>
      </c>
      <c r="F2" s="5" t="str">
        <f>HYPERLINK("https://youtu.be/cFYtn0B0KEc","[U' M U : [M, U2]]")</f>
        <v>[U' M U : [M, U2]]</v>
      </c>
      <c r="G2" s="5" t="str">
        <f>HYPERLINK("https://youtu.be/M6_mA5M7eV8","[L U : [S', L2]]")</f>
        <v>[L U : [S', L2]]</v>
      </c>
      <c r="H2" s="5" t="str">
        <f>HYPERLINK("https://youtu.be/6u8V6CJ5Gf0","[U2, M']")</f>
        <v>[U2, M']</v>
      </c>
      <c r="I2" s="5" t="str">
        <f>HYPERLINK("https://youtu.be/KPv4IX2oq14","[U' : [S, R2]]")</f>
        <v>[U' : [S, R2]]</v>
      </c>
      <c r="J2" s="5" t="str">
        <f>HYPERLINK("https://youtu.be/EpvtWFQD_xU","[M, U2]")</f>
        <v>[M, U2]</v>
      </c>
      <c r="K2" s="5" t="str">
        <f>HYPERLINK("https://youtu.be/Enf-5zofl6Y","[U : [S', L2]]")</f>
        <v>[U : [S', L2]]</v>
      </c>
      <c r="L2" s="5" t="str">
        <f>HYPERLINK("https://youtu.be/Kwj6f-A8Bgg","[U : [L' E L, U2]]")</f>
        <v>[U : [L' E L, U2]]</v>
      </c>
      <c r="M2" s="5" t="str">
        <f>HYPERLINK("https://youtu.be/O-r_0ftpY98","[U' : [R E R', U2]]")</f>
        <v>[U' : [R E R', U2]]</v>
      </c>
      <c r="N2" s="5" t="str">
        <f>HYPERLINK("https://youtu.be/VeRL7t2IWcI","[U : [L E' L', U2]]")</f>
        <v>[U : [L E' L', U2]]</v>
      </c>
      <c r="O2" s="5" t="str">
        <f>HYPERLINK("https://youtu.be/zPloq1ph5Rk","[S U' : [S, R2]]")</f>
        <v>[S U' : [S, R2]]</v>
      </c>
      <c r="P2" s="5" t="str">
        <f>HYPERLINK("https://youtu.be/USTw7rkTns4","[U' : [R E' R', U2]]")</f>
        <v>[U' : [R E' R', U2]]</v>
      </c>
      <c r="Q2" s="6" t="s">
        <v>24</v>
      </c>
      <c r="R2" s="5" t="str">
        <f>HYPERLINK("https://youtu.be/bebT5SFcKlQ","[U' : [R' E R, U2]]")</f>
        <v>[U' : [R' E R, U2]]</v>
      </c>
      <c r="S2" s="5" t="str">
        <f>HYPERLINK("https://youtu.be/CmnvG_YLWTU","[U : [L' E' L, U2]]")</f>
        <v>[U : [L' E' L, U2]]</v>
      </c>
      <c r="T2" s="5" t="str">
        <f>HYPERLINK("https://youtu.be/IBjCFUEqgaI","[U M' U : [M', U2]]")</f>
        <v>[U M' U : [M', U2]]</v>
      </c>
      <c r="U2" s="5" t="str">
        <f>HYPERLINK("https://youtu.be/-9NVc4-1SzA","[R U' : [S, R2]]")</f>
        <v>[R U' : [S, R2]]</v>
      </c>
      <c r="V2" s="7"/>
      <c r="W2" s="5" t="str">
        <f>HYPERLINK("https://youtu.be/hr24B7HSsUU","[L' U : [S', L2]]")</f>
        <v>[L' U : [S', L2]]</v>
      </c>
      <c r="Y2" s="8" t="s">
        <v>25</v>
      </c>
    </row>
    <row r="3" ht="16.5" customHeight="1">
      <c r="A3" s="3" t="str">
        <f>HYPERLINK("https://www.youtube.com/watch?v=ZjAs4g3ig1I&amp;index=21&amp;list=PLO7X-yN2PYzqyZ9KtLmqcCBXzltY8JVwf","B (UR)")</f>
        <v>B (UR)</v>
      </c>
      <c r="B3" s="5" t="str">
        <f>HYPERLINK("https://youtu.be/ZjAs4g3ig1I","[R2 U' : [R2, S]]")</f>
        <v>[R2 U' : [R2, S]]</v>
      </c>
      <c r="C3" s="4"/>
      <c r="D3" s="5" t="str">
        <f>HYPERLINK("https://youtu.be/m8fSN7o7o6I","[M2 U : [M, U2]]")</f>
        <v>[M2 U : [M, U2]]</v>
      </c>
      <c r="E3" s="5" t="str">
        <f>HYPERLINK("https://youtu.be/DdG2YjcSxqo","[E' : [U', R' E R]]")</f>
        <v>[E' : [U', R' E R]]</v>
      </c>
      <c r="F3" s="5" t="str">
        <f>HYPERLINK("https://youtu.be/3z7S4GWcWcM","[M', R U' R' U]")</f>
        <v>[M', R U' R' U]</v>
      </c>
      <c r="G3" s="5" t="str">
        <f>HYPERLINK("https://youtu.be/nBAFW-z0GaQ","[U', R E2 R']")</f>
        <v>[U', R E2 R']</v>
      </c>
      <c r="H3" s="5" t="str">
        <f>HYPERLINK("https://youtu.be/kdktaho6dGY","[M U2 M, U]")</f>
        <v>[M U2 M, U]</v>
      </c>
      <c r="I3" s="5" t="str">
        <f>HYPERLINK("https://youtu.be/Nlb3KY-NSzs","[R' U R' : [S, R2]]")</f>
        <v>[R' U R' : [S, R2]]</v>
      </c>
      <c r="J3" s="5" t="str">
        <f>HYPERLINK("https://youtu.be/pnL6zs65QEI","[M2, R U' R' U]")</f>
        <v>[M2, R U' R' U]</v>
      </c>
      <c r="K3" s="5" t="str">
        <f>HYPERLINK("https://youtu.be/nWkfvE2hkjE","U' L' U' L U L U L U' L'")</f>
        <v>U' L' U' L U L U L U' L'</v>
      </c>
      <c r="L3" s="5" t="str">
        <f>HYPERLINK("https://youtu.be/ByMyQ2YgRYM","[U : [L' E L, U]]")</f>
        <v>[U : [L' E L, U]]</v>
      </c>
      <c r="M3" s="5" t="str">
        <f>HYPERLINK("https://youtu.be/QpL8w5zUFxk","[U', R E R']")</f>
        <v>[U', R E R']</v>
      </c>
      <c r="N3" s="5" t="str">
        <f>HYPERLINK("https://youtu.be/8O8VGR6rIF0","[U : [L E' L', U]]")</f>
        <v>[U : [L E' L', U]]</v>
      </c>
      <c r="O3" s="7"/>
      <c r="P3" s="5" t="str">
        <f>HYPERLINK("https://youtu.be/yR1o8sZbRlM","[U', R E' R']")</f>
        <v>[U', R E' R']</v>
      </c>
      <c r="Q3" s="5" t="str">
        <f>HYPERLINK("https://youtu.be/FPiuqlm3TCY","[S', L F' L']")</f>
        <v>[S', L F' L']</v>
      </c>
      <c r="R3" s="5" t="str">
        <f>HYPERLINK("https://youtu.be/ic8xTjifvtI","[U', R' E R]")</f>
        <v>[U', R' E R]</v>
      </c>
      <c r="S3" s="5" t="str">
        <f>HYPERLINK("https://youtu.be/4yMddHtW1nc","[U : [L' E' L, U]]")</f>
        <v>[U : [L' E' L, U]]</v>
      </c>
      <c r="T3" s="5" t="str">
        <f>HYPERLINK("https://youtu.be/kreXQaycyr8","(U M U M')2")</f>
        <v>(U M U M')2</v>
      </c>
      <c r="U3" s="6" t="s">
        <v>26</v>
      </c>
      <c r="V3" s="5" t="str">
        <f>HYPERLINK("https://youtu.be/Z8xkypLie5s","[M, R' U' R U]")</f>
        <v>[M, R' U' R U]</v>
      </c>
      <c r="W3" s="5" t="str">
        <f>HYPERLINK("https://youtu.be/cjZCbxY780o","[U', R' E2 R]")</f>
        <v>[U', R' E2 R]</v>
      </c>
      <c r="Y3" s="9">
        <v>44790.0</v>
      </c>
    </row>
    <row r="4" ht="16.5" customHeight="1">
      <c r="A4" s="3" t="str">
        <f>HYPERLINK("https://youtu.be/KlGOUEFHYq8?list=PLO7X-yN2PYzqyZ9KtLmqcCBXzltY8JVwf","D (UL)")</f>
        <v>D (UL)</v>
      </c>
      <c r="B4" s="5" t="str">
        <f>HYPERLINK("https://youtu.be/KlGOUEFHYq8","[U' M2 U' : [M, U2]]")</f>
        <v>[U' M2 U' : [M, U2]]</v>
      </c>
      <c r="C4" s="5" t="str">
        <f>HYPERLINK("https://youtu.be/gW0W-V4MWjU","[M2 U' : [M, U2]]")</f>
        <v>[M2 U' : [M, U2]]</v>
      </c>
      <c r="D4" s="4"/>
      <c r="E4" s="5" t="str">
        <f>HYPERLINK("https://youtu.be/Nx3qi1SVlbc","[U, R' S2 R]")</f>
        <v>[U, R' S2 R]</v>
      </c>
      <c r="F4" s="5" t="str">
        <f>HYPERLINK("https://youtu.be/AHxDQEiewWc","[M', L' U L U']")</f>
        <v>[M', L' U L U']</v>
      </c>
      <c r="G4" s="5" t="str">
        <f>HYPERLINK("https://youtu.be/Q3vK58tX9Is","[E : [U, L E' L']]")</f>
        <v>[E : [U, L E' L']]</v>
      </c>
      <c r="H4" s="5" t="str">
        <f>HYPERLINK("https://youtu.be/Y74PTtRu2Sc","[R' F' : [R S R', F2]]")</f>
        <v>[R' F' : [R S R', F2]]</v>
      </c>
      <c r="I4" s="5" t="str">
        <f>HYPERLINK("https://youtu.be/HjkU8bhdXPo","U R U R' U' R' U' R' U R")</f>
        <v>U R U R' U' R' U' R' U R</v>
      </c>
      <c r="J4" s="5" t="str">
        <f>HYPERLINK("https://youtu.be/Izk6I29WT24","D' U R U R' U' R' U' R' U R D")</f>
        <v>D' U R U R' U' R' U' R' U R D</v>
      </c>
      <c r="K4" s="5" t="str">
        <f>HYPERLINK("https://youtu.be/tI1s2UgMClI","[L U' L : [S', L2]]")</f>
        <v>[L U' L : [S', L2]]</v>
      </c>
      <c r="L4" s="5" t="str">
        <f>HYPERLINK("https://youtu.be/H6jU2p-_uVw","[U, L' E L]")</f>
        <v>[U, L' E L]</v>
      </c>
      <c r="M4" s="5" t="str">
        <f>HYPERLINK("https://youtu.be/jcIHIqvF3f4","[U' : [R E R', U']]")</f>
        <v>[U' : [R E R', U']]</v>
      </c>
      <c r="N4" s="5" t="str">
        <f>HYPERLINK("https://youtu.be/mEyQ3zwa9Ew","[U, L E' L']")</f>
        <v>[U, L E' L']</v>
      </c>
      <c r="O4" s="5" t="str">
        <f>HYPERLINK("https://youtu.be/VagqbhWvsQw","[S, R' F R]")</f>
        <v>[S, R' F R]</v>
      </c>
      <c r="P4" s="5" t="str">
        <f>HYPERLINK("https://youtu.be/g8aXzBdiXqs","[U' : [R E' R', U']]")</f>
        <v>[U' : [R E' R', U']]</v>
      </c>
      <c r="Q4" s="7"/>
      <c r="R4" s="5" t="str">
        <f>HYPERLINK("https://youtu.be/A2vOi3nEPY0","[U' : [R' E R, U']]")</f>
        <v>[U' : [R' E R, U']]</v>
      </c>
      <c r="S4" s="5" t="str">
        <f>HYPERLINK("https://youtu.be/EZQ3MzWAP0A","[U, L' E' L]")</f>
        <v>[U, L' E' L]</v>
      </c>
      <c r="T4" s="5" t="str">
        <f>HYPERLINK("https://youtu.be/M_557rEXBZY","(U' M U' M')2")</f>
        <v>(U' M U' M')2</v>
      </c>
      <c r="U4" s="5" t="str">
        <f>HYPERLINK("https://youtu.be/8QW-R1y9OCM","[U, R S2 R']")</f>
        <v>[U, R S2 R']</v>
      </c>
      <c r="V4" s="5" t="str">
        <f>HYPERLINK("https://youtu.be/F7Lom3oBe_Q","[M, L U L' U']")</f>
        <v>[M, L U L' U']</v>
      </c>
      <c r="W4" s="5" t="str">
        <f>HYPERLINK("https://youtu.be/02nGMOS31Fo","[E' : [U, L' E L]]")</f>
        <v>[E' : [U, L' E L]]</v>
      </c>
    </row>
    <row r="5" ht="16.5" customHeight="1">
      <c r="A5" s="3" t="str">
        <f>HYPERLINK("https://youtu.be/n6TdgEuW9Cs?list=PLO7X-yN2PYzqyZ9KtLmqcCBXzltY8JVwf","F (FR)")</f>
        <v>F (FR)</v>
      </c>
      <c r="B5" s="5" t="str">
        <f>HYPERLINK("https://www.youtube.com/watch?v=n6TdgEuW9Cs","[R' U' : [R2, S]]")</f>
        <v>[R' U' : [R2, S]]</v>
      </c>
      <c r="C5" s="5" t="str">
        <f>HYPERLINK("https://www.youtube.com/watch?v=6Zjm-7iqkRs","[E' : [R' E R, U']]")</f>
        <v>[E' : [R' E R, U']]</v>
      </c>
      <c r="D5" s="5" t="str">
        <f>HYPERLINK("https://www.youtube.com/watch?v=L_TOxotALiQ","[R' S2 R, U]")</f>
        <v>[R' S2 R, U]</v>
      </c>
      <c r="E5" s="4"/>
      <c r="F5" s="5" t="str">
        <f>HYPERLINK("https://www.youtube.com/watch?v=qFStvHbFLf4","[M', U' R U]")</f>
        <v>[M', U' R U]</v>
      </c>
      <c r="G5" s="5" t="str">
        <f>HYPERLINK("https://www.youtube.com/watch?v=YQfT_4RR8qA","[R' U' R : [E, R2]]")</f>
        <v>[R' U' R : [E, R2]]</v>
      </c>
      <c r="H5" s="5" t="str">
        <f>HYPERLINK("https://www.youtube.com/watch?v=OfL4bRDoZNw","[D'U L : [E', L2]]")</f>
        <v>[D'U L : [E', L2]]</v>
      </c>
      <c r="I5" s="5" t="str">
        <f>HYPERLINK("https://www.youtube.com/watch?v=6TQyEiD1ols","U R' U' R' U R U R U R' U2")</f>
        <v>U R' U' R' U R U R U R' U2</v>
      </c>
      <c r="J5" s="5" t="str">
        <f>HYPERLINK("https://www.youtube.com/watch?v=Q7EwHaVOKLU","[UD L : [E', L2]]")</f>
        <v>[UD L : [E', L2]]</v>
      </c>
      <c r="K5" s="5" t="str">
        <f>HYPERLINK("https://www.youtube.com/watch?v=EO0GuSfYBE4","[U L : [E', L2]]")</f>
        <v>[U L : [E', L2]]</v>
      </c>
      <c r="L5" s="5" t="str">
        <f>HYPERLINK("https://www.youtube.com/watch?v=I_Txb2jNngk","[R U' R', E']")</f>
        <v>[R U' R', E']</v>
      </c>
      <c r="M5" s="5" t="str">
        <f>HYPERLINK("https://www.youtube.com/watch?v=e3-WQKztD2o","[R' f R' : [S', R2]]")</f>
        <v>[R' f R' : [S', R2]]</v>
      </c>
      <c r="N5" s="7"/>
      <c r="O5" s="5" t="str">
        <f>HYPERLINK("https://www.youtube.com/watch?v=IWLEGkaLT3k","[l F : [l' S' l, F]]")</f>
        <v>[l F : [l' S' l, F]]</v>
      </c>
      <c r="P5" s="5" t="str">
        <f>HYPERLINK("https://www.youtube.com/watch?v=Ewh60_qV4bc","[R : [U', R E' R']]")</f>
        <v>[R : [U', R E' R']]</v>
      </c>
      <c r="Q5" s="5" t="str">
        <f>HYPERLINK("https://www.youtube.com/watch?v=hBR-Oc4sj4o","[S' U L : [E', L2]]")</f>
        <v>[S' U L : [E', L2]]</v>
      </c>
      <c r="R5" s="5" t="str">
        <f>HYPERLINK("https://www.youtube.com/watch?v=HK8PkIUudqY","[R U' R', E]")</f>
        <v>[R U' R', E]</v>
      </c>
      <c r="S5" s="5" t="str">
        <f>HYPERLINK("https://www.youtube.com/watch?v=MFrx2guPx4Q","[L' E' : [E', L U L']]")</f>
        <v>[L' E' : [E', L U L']]</v>
      </c>
      <c r="T5" s="5" t="str">
        <f>HYPERLINK("https://www.youtube.com/watch?v=Ut_sZDbcVeg","[U' : [U' M U, R]]")</f>
        <v>[U' : [U' M U, R]]</v>
      </c>
      <c r="U5" s="5" t="str">
        <f>HYPERLINK("https://www.youtube.com/watch?v=yPVnVgvcyQE","[U R' : [S, R2]]")</f>
        <v>[U R' : [S, R2]]</v>
      </c>
      <c r="V5" s="5" t="str">
        <f>HYPERLINK("https://www.youtube.com/watch?v=__4neuxAvWU","[M, U' R U]")</f>
        <v>[M, U' R U]</v>
      </c>
      <c r="W5" s="5" t="str">
        <f>HYPERLINK("https://www.youtube.com/watch?v=gvTTtEaUkkY","[R' U' R' : [E', R2]]")</f>
        <v>[R' U' R' : [E', R2]]</v>
      </c>
    </row>
    <row r="6" ht="16.5" customHeight="1">
      <c r="A6" s="3" t="str">
        <f>HYPERLINK("https://www.youtube.com/watch?v=bQLOcr8G-Ug&amp;index=81&amp;list=PLO7X-yN2PYzqyZ9KtLmqcCBXzltY8JVwf","G (FD)")</f>
        <v>G (FD)</v>
      </c>
      <c r="B6" s="5" t="str">
        <f>HYPERLINK("https://youtu.be/bQLOcr8G-Ug","[U M U : [M, U2]]")</f>
        <v>[U M U : [M, U2]]</v>
      </c>
      <c r="C6" s="5" t="str">
        <f>HYPERLINK("https://youtu.be/ivQ-XSP2uBQ","[R U' R' U, M']")</f>
        <v>[R U' R' U, M']</v>
      </c>
      <c r="D6" s="5" t="str">
        <f>HYPERLINK("https://youtu.be/Za_WRP3slhQ","[L' U L U', M']")</f>
        <v>[L' U L U', M']</v>
      </c>
      <c r="E6" s="5" t="str">
        <f>HYPERLINK("https://youtu.be/hWCU4e0EKKI","[U' R U, M']")</f>
        <v>[U' R U, M']</v>
      </c>
      <c r="F6" s="4"/>
      <c r="G6" s="5" t="str">
        <f>HYPERLINK("https://youtu.be/NevKa8dmu7w","[U L' U', M']")</f>
        <v>[U L' U', M']</v>
      </c>
      <c r="H6" s="7"/>
      <c r="I6" s="5" t="str">
        <f>HYPERLINK("https://youtu.be/_E7PS4Rue-0","[U R' F' R' : [S, R2]]")</f>
        <v>[U R' F' R' : [S, R2]]</v>
      </c>
      <c r="J6" s="5" t="str">
        <f>HYPERLINK("https://youtu.be/dt3jMOJOdlc","[D : [R F R', S']]")</f>
        <v>[D : [R F R', S']]</v>
      </c>
      <c r="K6" s="5" t="str">
        <f>HYPERLINK("https://youtu.be/Zl6nt1OQRFY","[U' L F L : [S', L2]]")</f>
        <v>[U' L F L : [S', L2]]</v>
      </c>
      <c r="L6" s="6" t="s">
        <v>27</v>
      </c>
      <c r="M6" s="10" t="s">
        <v>28</v>
      </c>
      <c r="N6" s="6" t="s">
        <v>29</v>
      </c>
      <c r="O6" s="5" t="str">
        <f>HYPERLINK("https://youtu.be/Lds_WSb6wjA","[r : [U R' U', M']]")</f>
        <v>[r : [U R' U', M']]</v>
      </c>
      <c r="P6" s="6" t="s">
        <v>30</v>
      </c>
      <c r="Q6" s="5" t="str">
        <f>HYPERLINK("https://youtu.be/JCfGC3YSsBA","[l' : [U' L U, M']]")</f>
        <v>[l' : [U' L U, M']]</v>
      </c>
      <c r="R6" s="6" t="s">
        <v>31</v>
      </c>
      <c r="S6" s="6" t="s">
        <v>32</v>
      </c>
      <c r="T6" s="5" t="str">
        <f>HYPERLINK("https://youtu.be/FSoHenaxrbI","U M' U' M U2 M U M' U")</f>
        <v>U M' U' M U2 M U M' U</v>
      </c>
      <c r="U6" s="5" t="str">
        <f>HYPERLINK("https://youtu.be/bs7PMNLrU6U","[U' R' U, M']")</f>
        <v>[U' R' U, M']</v>
      </c>
      <c r="V6" s="5" t="str">
        <f>HYPERLINK("https://youtu.be/BHW7l00CCNE","[U' : [S, R' F' R]]")</f>
        <v>[U' : [S, R' F' R]]</v>
      </c>
      <c r="W6" s="5" t="str">
        <f>HYPERLINK("https://youtu.be/_plM-BH_gSE","[U L U', M']")</f>
        <v>[U L U', M']</v>
      </c>
    </row>
    <row r="7" ht="16.5" customHeight="1">
      <c r="A7" s="3" t="str">
        <f>HYPERLINK("https://www.youtube.com/watch?v=ehTfPAWKR6U&amp;list=PLO7X-yN2PYzqyZ9KtLmqcCBXzltY8JVwf&amp;index=101","H (FL)")</f>
        <v>H (FL)</v>
      </c>
      <c r="B7" s="5" t="str">
        <f>HYPERLINK("https://youtu.be/ehTfPAWKR6U","[U : [R E2 R', U2]]")</f>
        <v>[U : [R E2 R', U2]]</v>
      </c>
      <c r="C7" s="5" t="str">
        <f>HYPERLINK("https://youtu.be/guGTNPZEsJA","[R E2 R', U']")</f>
        <v>[R E2 R', U']</v>
      </c>
      <c r="D7" s="5" t="str">
        <f>HYPERLINK("https://youtu.be/hhHaRhtx29w","[E : [L E' L', U]]")</f>
        <v>[E : [L E' L', U]]</v>
      </c>
      <c r="E7" s="5" t="str">
        <f>HYPERLINK("https://youtu.be/hhHaRhtx29w","[R' U' R' : [E, R2]]")</f>
        <v>[R' U' R' : [E, R2]]</v>
      </c>
      <c r="F7" s="5" t="str">
        <f>HYPERLINK("https://youtu.be/wg6mcru886k","[M', U L' U']")</f>
        <v>[M', U L' U']</v>
      </c>
      <c r="G7" s="4"/>
      <c r="H7" s="5" t="str">
        <f>HYPERLINK("https://youtu.be/xGa2HHQYkYU","[U'D R' : [E, R2]]")</f>
        <v>[U'D R' : [E, R2]]</v>
      </c>
      <c r="I7" s="5" t="str">
        <f>HYPERLINK("https://youtu.be/fFKuYfDz8Y0","[U' R' : [E, R2]]")</f>
        <v>[U' R' : [E, R2]]</v>
      </c>
      <c r="J7" s="5" t="str">
        <f>HYPERLINK("https://youtu.be/637Jme_tK5o","[U'D' R' : [E, R2]]")</f>
        <v>[U'D' R' : [E, R2]]</v>
      </c>
      <c r="K7" s="5" t="str">
        <f>HYPERLINK("https://youtu.be/ngja1d9A6lc","U' L U L U' L' U' L' U' L U2")</f>
        <v>U' L U L U' L' U' L' U' L U2</v>
      </c>
      <c r="L7" s="5" t="str">
        <f>HYPERLINK("https://youtu.be/xEnsRl7u_kA","[L' : [U, L' E L]]")</f>
        <v>[L' : [U, L' E L]]</v>
      </c>
      <c r="M7" s="5" t="str">
        <f>HYPERLINK("https://youtu.be/BniUNDjluQQ","[R E : [E, R' U' R]]")</f>
        <v>[R E : [E, R' U' R]]</v>
      </c>
      <c r="N7" s="5" t="str">
        <f>HYPERLINK("https://youtu.be/5FT4qEqSQsk","[L' U L, E']")</f>
        <v>[L' U L, E']</v>
      </c>
      <c r="O7" s="5" t="str">
        <f>HYPERLINK("https://youtu.be/Oj50Eti5xGE","[S U' R' : [E, R2]]")</f>
        <v>[S U' R' : [E, R2]]</v>
      </c>
      <c r="P7" s="5" t="str">
        <f>HYPERLINK("https://youtu.be/vW2DVjNcPqE","[L' U L, E]")</f>
        <v>[L' U L, E]</v>
      </c>
      <c r="Q7" s="5" t="str">
        <f>HYPERLINK("https://youtu.be/yxcP9vVDHE0","[r' F' : [r S r', F']]")</f>
        <v>[r' F' : [r S r', F']]</v>
      </c>
      <c r="R7" s="7"/>
      <c r="S7" s="5" t="str">
        <f>HYPERLINK("https://youtu.be/3un7caD-iv8","[S' U' R' : [E, R2]]")</f>
        <v>[S' U' R' : [E, R2]]</v>
      </c>
      <c r="T7" s="5" t="str">
        <f>HYPERLINK("https://youtu.be/oVaU5E5sB_w","[U : [U M U', L']]")</f>
        <v>[U : [U M U', L']]</v>
      </c>
      <c r="U7" s="5" t="str">
        <f>HYPERLINK("https://youtu.be/tm30NEWXKDY","[R U' R' : [E, R2]]")</f>
        <v>[R U' R' : [E, R2]]</v>
      </c>
      <c r="V7" s="6" t="s">
        <v>33</v>
      </c>
      <c r="W7" s="5" t="str">
        <f>HYPERLINK("https://youtu.be/3xu43eWsGc4","[U' L : [S', L2]]")</f>
        <v>[U' L : [S', L2]]</v>
      </c>
    </row>
    <row r="8" ht="16.5" customHeight="1">
      <c r="A8" s="2" t="s">
        <v>7</v>
      </c>
      <c r="B8" s="8" t="s">
        <v>34</v>
      </c>
      <c r="C8" s="8" t="s">
        <v>35</v>
      </c>
      <c r="D8" s="8" t="s">
        <v>36</v>
      </c>
      <c r="E8" s="8" t="s">
        <v>37</v>
      </c>
      <c r="F8" s="7"/>
      <c r="G8" s="8" t="s">
        <v>38</v>
      </c>
      <c r="H8" s="4"/>
      <c r="I8" s="8" t="s">
        <v>39</v>
      </c>
      <c r="J8" s="8" t="s">
        <v>40</v>
      </c>
      <c r="K8" s="8" t="s">
        <v>41</v>
      </c>
      <c r="L8" s="8" t="s">
        <v>42</v>
      </c>
      <c r="M8" s="8" t="s">
        <v>43</v>
      </c>
      <c r="N8" s="8" t="s">
        <v>44</v>
      </c>
      <c r="O8" s="8" t="s">
        <v>45</v>
      </c>
      <c r="P8" s="8" t="s">
        <v>46</v>
      </c>
      <c r="Q8" s="8" t="s">
        <v>47</v>
      </c>
      <c r="R8" s="8" t="s">
        <v>48</v>
      </c>
      <c r="S8" s="8" t="s">
        <v>49</v>
      </c>
      <c r="T8" s="8" t="s">
        <v>50</v>
      </c>
      <c r="U8" s="8" t="s">
        <v>51</v>
      </c>
      <c r="V8" s="8" t="s">
        <v>52</v>
      </c>
      <c r="W8" s="8" t="s">
        <v>53</v>
      </c>
    </row>
    <row r="9" ht="16.5" customHeight="1">
      <c r="A9" s="2" t="s">
        <v>8</v>
      </c>
      <c r="B9" s="8" t="s">
        <v>54</v>
      </c>
      <c r="C9" s="8" t="s">
        <v>55</v>
      </c>
      <c r="D9" s="8" t="s">
        <v>56</v>
      </c>
      <c r="E9" s="11" t="s">
        <v>57</v>
      </c>
      <c r="F9" s="8" t="s">
        <v>58</v>
      </c>
      <c r="G9" s="8" t="s">
        <v>59</v>
      </c>
      <c r="H9" s="8" t="s">
        <v>60</v>
      </c>
      <c r="I9" s="4"/>
      <c r="J9" s="8" t="s">
        <v>61</v>
      </c>
      <c r="K9" s="8" t="s">
        <v>62</v>
      </c>
      <c r="L9" s="8" t="s">
        <v>63</v>
      </c>
      <c r="M9" s="7"/>
      <c r="N9" s="8" t="s">
        <v>64</v>
      </c>
      <c r="O9" s="8" t="s">
        <v>65</v>
      </c>
      <c r="P9" s="8" t="s">
        <v>66</v>
      </c>
      <c r="Q9" s="8" t="s">
        <v>67</v>
      </c>
      <c r="R9" s="8" t="s">
        <v>68</v>
      </c>
      <c r="S9" s="8" t="s">
        <v>69</v>
      </c>
      <c r="T9" s="8" t="s">
        <v>70</v>
      </c>
      <c r="U9" s="8" t="s">
        <v>71</v>
      </c>
      <c r="V9" s="8" t="s">
        <v>72</v>
      </c>
      <c r="W9" s="8" t="s">
        <v>73</v>
      </c>
    </row>
    <row r="10" ht="16.5" customHeight="1">
      <c r="A10" s="2" t="s">
        <v>9</v>
      </c>
      <c r="B10" s="8" t="s">
        <v>74</v>
      </c>
      <c r="C10" s="8" t="s">
        <v>75</v>
      </c>
      <c r="D10" s="8" t="s">
        <v>76</v>
      </c>
      <c r="E10" s="8" t="s">
        <v>77</v>
      </c>
      <c r="F10" s="8" t="s">
        <v>78</v>
      </c>
      <c r="G10" s="8" t="s">
        <v>79</v>
      </c>
      <c r="H10" s="8" t="s">
        <v>80</v>
      </c>
      <c r="I10" s="8" t="s">
        <v>81</v>
      </c>
      <c r="J10" s="4"/>
      <c r="K10" s="8" t="s">
        <v>82</v>
      </c>
      <c r="L10" s="8" t="s">
        <v>83</v>
      </c>
      <c r="M10" s="8" t="s">
        <v>84</v>
      </c>
      <c r="N10" s="8" t="s">
        <v>85</v>
      </c>
      <c r="O10" s="8" t="s">
        <v>86</v>
      </c>
      <c r="P10" s="8" t="s">
        <v>87</v>
      </c>
      <c r="Q10" s="8" t="s">
        <v>88</v>
      </c>
      <c r="R10" s="8" t="s">
        <v>89</v>
      </c>
      <c r="S10" s="8" t="s">
        <v>90</v>
      </c>
      <c r="T10" s="7"/>
      <c r="U10" s="8" t="s">
        <v>91</v>
      </c>
      <c r="V10" s="12" t="s">
        <v>92</v>
      </c>
      <c r="W10" s="8" t="s">
        <v>93</v>
      </c>
    </row>
    <row r="11" ht="16.5" customHeight="1">
      <c r="A11" s="2" t="s">
        <v>10</v>
      </c>
      <c r="B11" s="8" t="s">
        <v>94</v>
      </c>
      <c r="C11" s="8" t="s">
        <v>95</v>
      </c>
      <c r="D11" s="8" t="s">
        <v>96</v>
      </c>
      <c r="E11" s="8" t="s">
        <v>97</v>
      </c>
      <c r="F11" s="8" t="s">
        <v>98</v>
      </c>
      <c r="G11" s="8" t="s">
        <v>99</v>
      </c>
      <c r="H11" s="8" t="s">
        <v>100</v>
      </c>
      <c r="I11" s="8" t="s">
        <v>101</v>
      </c>
      <c r="J11" s="8" t="s">
        <v>102</v>
      </c>
      <c r="K11" s="4"/>
      <c r="L11" s="8" t="s">
        <v>103</v>
      </c>
      <c r="M11" s="8" t="s">
        <v>104</v>
      </c>
      <c r="N11" s="8" t="s">
        <v>105</v>
      </c>
      <c r="O11" s="8" t="s">
        <v>106</v>
      </c>
      <c r="P11" s="8" t="s">
        <v>107</v>
      </c>
      <c r="Q11" s="8" t="s">
        <v>108</v>
      </c>
      <c r="R11" s="8" t="s">
        <v>109</v>
      </c>
      <c r="S11" s="7"/>
      <c r="T11" s="8" t="s">
        <v>110</v>
      </c>
      <c r="U11" s="8" t="s">
        <v>111</v>
      </c>
      <c r="V11" s="8" t="s">
        <v>112</v>
      </c>
      <c r="W11" s="8" t="s">
        <v>113</v>
      </c>
    </row>
    <row r="12" ht="16.5" customHeight="1">
      <c r="A12" s="2" t="s">
        <v>11</v>
      </c>
      <c r="B12" s="8" t="s">
        <v>114</v>
      </c>
      <c r="C12" s="8" t="s">
        <v>115</v>
      </c>
      <c r="D12" s="8" t="s">
        <v>116</v>
      </c>
      <c r="E12" s="8" t="s">
        <v>117</v>
      </c>
      <c r="F12" s="8" t="s">
        <v>118</v>
      </c>
      <c r="G12" s="8" t="s">
        <v>119</v>
      </c>
      <c r="H12" s="8" t="s">
        <v>120</v>
      </c>
      <c r="I12" s="8" t="s">
        <v>121</v>
      </c>
      <c r="J12" s="8" t="s">
        <v>122</v>
      </c>
      <c r="K12" s="8" t="s">
        <v>123</v>
      </c>
      <c r="L12" s="4"/>
      <c r="M12" s="8" t="s">
        <v>124</v>
      </c>
      <c r="N12" s="8" t="s">
        <v>125</v>
      </c>
      <c r="O12" s="8" t="s">
        <v>126</v>
      </c>
      <c r="P12" s="8" t="s">
        <v>127</v>
      </c>
      <c r="Q12" s="8" t="s">
        <v>128</v>
      </c>
      <c r="R12" s="8" t="s">
        <v>129</v>
      </c>
      <c r="S12" s="8" t="s">
        <v>130</v>
      </c>
      <c r="T12" s="8" t="s">
        <v>131</v>
      </c>
      <c r="U12" s="7"/>
      <c r="V12" s="8" t="s">
        <v>132</v>
      </c>
      <c r="W12" s="8" t="s">
        <v>133</v>
      </c>
    </row>
    <row r="13" ht="16.5" customHeight="1">
      <c r="A13" s="2" t="s">
        <v>12</v>
      </c>
      <c r="B13" s="8" t="s">
        <v>134</v>
      </c>
      <c r="C13" s="8" t="s">
        <v>135</v>
      </c>
      <c r="D13" s="8" t="s">
        <v>136</v>
      </c>
      <c r="E13" s="8" t="s">
        <v>137</v>
      </c>
      <c r="F13" s="8" t="s">
        <v>138</v>
      </c>
      <c r="G13" s="8" t="s">
        <v>139</v>
      </c>
      <c r="H13" s="8" t="s">
        <v>140</v>
      </c>
      <c r="I13" s="7"/>
      <c r="J13" s="8" t="s">
        <v>141</v>
      </c>
      <c r="K13" s="8" t="s">
        <v>142</v>
      </c>
      <c r="L13" s="8" t="s">
        <v>143</v>
      </c>
      <c r="M13" s="4"/>
      <c r="N13" s="8" t="s">
        <v>144</v>
      </c>
      <c r="O13" s="8" t="s">
        <v>145</v>
      </c>
      <c r="P13" s="8" t="s">
        <v>146</v>
      </c>
      <c r="Q13" s="8" t="s">
        <v>147</v>
      </c>
      <c r="R13" s="8" t="s">
        <v>148</v>
      </c>
      <c r="S13" s="8" t="s">
        <v>149</v>
      </c>
      <c r="T13" s="8" t="s">
        <v>150</v>
      </c>
      <c r="U13" s="8" t="s">
        <v>151</v>
      </c>
      <c r="V13" s="8" t="s">
        <v>152</v>
      </c>
      <c r="W13" s="8" t="s">
        <v>153</v>
      </c>
    </row>
    <row r="14" ht="16.5" customHeight="1">
      <c r="A14" s="2" t="s">
        <v>13</v>
      </c>
      <c r="B14" s="8" t="s">
        <v>154</v>
      </c>
      <c r="C14" s="8" t="s">
        <v>155</v>
      </c>
      <c r="D14" s="8" t="s">
        <v>156</v>
      </c>
      <c r="E14" s="7"/>
      <c r="F14" s="6" t="s">
        <v>157</v>
      </c>
      <c r="G14" s="8" t="s">
        <v>158</v>
      </c>
      <c r="H14" s="8" t="s">
        <v>159</v>
      </c>
      <c r="I14" s="8" t="s">
        <v>68</v>
      </c>
      <c r="J14" s="8" t="s">
        <v>160</v>
      </c>
      <c r="K14" s="8" t="s">
        <v>161</v>
      </c>
      <c r="L14" s="8" t="s">
        <v>162</v>
      </c>
      <c r="M14" s="8" t="s">
        <v>163</v>
      </c>
      <c r="N14" s="4"/>
      <c r="O14" s="8" t="s">
        <v>164</v>
      </c>
      <c r="P14" s="8" t="s">
        <v>165</v>
      </c>
      <c r="Q14" s="8" t="s">
        <v>166</v>
      </c>
      <c r="R14" s="8" t="s">
        <v>167</v>
      </c>
      <c r="S14" s="8" t="s">
        <v>168</v>
      </c>
      <c r="T14" s="8" t="s">
        <v>169</v>
      </c>
      <c r="U14" s="13" t="s">
        <v>170</v>
      </c>
      <c r="V14" s="8" t="s">
        <v>171</v>
      </c>
      <c r="W14" s="8" t="s">
        <v>172</v>
      </c>
    </row>
    <row r="15" ht="16.5" customHeight="1">
      <c r="A15" s="2" t="s">
        <v>14</v>
      </c>
      <c r="B15" s="8" t="s">
        <v>173</v>
      </c>
      <c r="C15" s="7"/>
      <c r="D15" s="8" t="s">
        <v>174</v>
      </c>
      <c r="E15" s="8" t="s">
        <v>175</v>
      </c>
      <c r="F15" s="8" t="s">
        <v>176</v>
      </c>
      <c r="G15" s="8" t="s">
        <v>177</v>
      </c>
      <c r="H15" s="13" t="s">
        <v>178</v>
      </c>
      <c r="I15" s="8" t="s">
        <v>179</v>
      </c>
      <c r="J15" s="8" t="s">
        <v>180</v>
      </c>
      <c r="K15" s="8" t="s">
        <v>181</v>
      </c>
      <c r="L15" s="8" t="s">
        <v>182</v>
      </c>
      <c r="M15" s="8" t="s">
        <v>183</v>
      </c>
      <c r="N15" s="8" t="s">
        <v>184</v>
      </c>
      <c r="O15" s="4"/>
      <c r="P15" s="8" t="s">
        <v>185</v>
      </c>
      <c r="Q15" s="8" t="s">
        <v>186</v>
      </c>
      <c r="R15" s="8" t="s">
        <v>187</v>
      </c>
      <c r="S15" s="8" t="s">
        <v>188</v>
      </c>
      <c r="T15" s="8" t="s">
        <v>189</v>
      </c>
      <c r="U15" s="8" t="s">
        <v>190</v>
      </c>
      <c r="V15" s="8" t="s">
        <v>191</v>
      </c>
      <c r="W15" s="8" t="s">
        <v>192</v>
      </c>
    </row>
    <row r="16" ht="16.5" customHeight="1">
      <c r="A16" s="2" t="s">
        <v>15</v>
      </c>
      <c r="B16" s="8" t="s">
        <v>193</v>
      </c>
      <c r="C16" s="8" t="s">
        <v>194</v>
      </c>
      <c r="D16" s="8" t="s">
        <v>195</v>
      </c>
      <c r="E16" s="8" t="s">
        <v>196</v>
      </c>
      <c r="F16" s="6" t="s">
        <v>197</v>
      </c>
      <c r="G16" s="8" t="s">
        <v>198</v>
      </c>
      <c r="H16" s="8" t="s">
        <v>199</v>
      </c>
      <c r="I16" s="8" t="s">
        <v>200</v>
      </c>
      <c r="J16" s="8" t="s">
        <v>201</v>
      </c>
      <c r="K16" s="8" t="s">
        <v>202</v>
      </c>
      <c r="L16" s="8" t="s">
        <v>203</v>
      </c>
      <c r="M16" s="8" t="s">
        <v>204</v>
      </c>
      <c r="N16" s="8" t="s">
        <v>205</v>
      </c>
      <c r="O16" s="8" t="s">
        <v>206</v>
      </c>
      <c r="P16" s="4"/>
      <c r="Q16" s="8" t="s">
        <v>207</v>
      </c>
      <c r="R16" s="8" t="s">
        <v>208</v>
      </c>
      <c r="S16" s="8" t="s">
        <v>209</v>
      </c>
      <c r="T16" s="8" t="s">
        <v>210</v>
      </c>
      <c r="U16" s="8" t="s">
        <v>211</v>
      </c>
      <c r="V16" s="8" t="s">
        <v>212</v>
      </c>
      <c r="W16" s="7"/>
    </row>
    <row r="17" ht="16.5" customHeight="1">
      <c r="A17" s="2" t="s">
        <v>16</v>
      </c>
      <c r="B17" s="8" t="s">
        <v>213</v>
      </c>
      <c r="C17" s="8" t="s">
        <v>214</v>
      </c>
      <c r="D17" s="7"/>
      <c r="E17" s="8" t="s">
        <v>215</v>
      </c>
      <c r="F17" s="8" t="s">
        <v>216</v>
      </c>
      <c r="G17" s="8" t="s">
        <v>217</v>
      </c>
      <c r="H17" s="8" t="s">
        <v>218</v>
      </c>
      <c r="I17" s="8" t="s">
        <v>219</v>
      </c>
      <c r="J17" s="8" t="s">
        <v>220</v>
      </c>
      <c r="K17" s="8" t="s">
        <v>221</v>
      </c>
      <c r="L17" s="8" t="s">
        <v>222</v>
      </c>
      <c r="M17" s="8" t="s">
        <v>223</v>
      </c>
      <c r="N17" s="8" t="s">
        <v>224</v>
      </c>
      <c r="O17" s="8" t="s">
        <v>225</v>
      </c>
      <c r="P17" s="8" t="s">
        <v>226</v>
      </c>
      <c r="Q17" s="4"/>
      <c r="R17" s="8" t="s">
        <v>227</v>
      </c>
      <c r="S17" s="8" t="s">
        <v>228</v>
      </c>
      <c r="T17" s="8" t="s">
        <v>229</v>
      </c>
      <c r="U17" s="8" t="s">
        <v>230</v>
      </c>
      <c r="V17" s="8" t="s">
        <v>231</v>
      </c>
      <c r="W17" s="8" t="s">
        <v>232</v>
      </c>
    </row>
    <row r="18" ht="16.5" customHeight="1">
      <c r="A18" s="2" t="s">
        <v>17</v>
      </c>
      <c r="B18" s="8" t="s">
        <v>233</v>
      </c>
      <c r="C18" s="8" t="s">
        <v>234</v>
      </c>
      <c r="D18" s="8" t="s">
        <v>235</v>
      </c>
      <c r="E18" s="8" t="s">
        <v>236</v>
      </c>
      <c r="F18" s="6" t="s">
        <v>237</v>
      </c>
      <c r="G18" s="7"/>
      <c r="H18" s="8" t="s">
        <v>238</v>
      </c>
      <c r="I18" s="8" t="s">
        <v>239</v>
      </c>
      <c r="J18" s="8" t="s">
        <v>240</v>
      </c>
      <c r="K18" s="8" t="s">
        <v>241</v>
      </c>
      <c r="L18" s="8" t="s">
        <v>242</v>
      </c>
      <c r="M18" s="8" t="s">
        <v>243</v>
      </c>
      <c r="N18" s="8" t="s">
        <v>244</v>
      </c>
      <c r="O18" s="8" t="s">
        <v>245</v>
      </c>
      <c r="P18" s="8" t="s">
        <v>246</v>
      </c>
      <c r="Q18" s="8" t="s">
        <v>243</v>
      </c>
      <c r="R18" s="4"/>
      <c r="S18" s="8" t="s">
        <v>247</v>
      </c>
      <c r="T18" s="8" t="s">
        <v>248</v>
      </c>
      <c r="U18" s="8" t="s">
        <v>249</v>
      </c>
      <c r="V18" s="8" t="s">
        <v>250</v>
      </c>
      <c r="W18" s="8" t="s">
        <v>251</v>
      </c>
    </row>
    <row r="19" ht="16.5" customHeight="1">
      <c r="A19" s="2" t="s">
        <v>18</v>
      </c>
      <c r="B19" s="8" t="s">
        <v>252</v>
      </c>
      <c r="C19" s="8" t="s">
        <v>253</v>
      </c>
      <c r="D19" s="8" t="s">
        <v>254</v>
      </c>
      <c r="E19" s="8" t="s">
        <v>255</v>
      </c>
      <c r="F19" s="6" t="s">
        <v>256</v>
      </c>
      <c r="G19" s="13" t="s">
        <v>257</v>
      </c>
      <c r="H19" s="8" t="s">
        <v>258</v>
      </c>
      <c r="I19" s="8" t="s">
        <v>259</v>
      </c>
      <c r="J19" s="8" t="s">
        <v>260</v>
      </c>
      <c r="K19" s="7"/>
      <c r="L19" s="8" t="s">
        <v>261</v>
      </c>
      <c r="M19" s="8" t="s">
        <v>262</v>
      </c>
      <c r="N19" s="8" t="s">
        <v>263</v>
      </c>
      <c r="O19" s="8" t="s">
        <v>264</v>
      </c>
      <c r="P19" s="8" t="s">
        <v>265</v>
      </c>
      <c r="Q19" s="8" t="s">
        <v>266</v>
      </c>
      <c r="R19" s="8" t="s">
        <v>267</v>
      </c>
      <c r="S19" s="4"/>
      <c r="T19" s="8" t="s">
        <v>268</v>
      </c>
      <c r="U19" s="8" t="s">
        <v>269</v>
      </c>
      <c r="V19" s="8" t="s">
        <v>270</v>
      </c>
      <c r="W19" s="8" t="s">
        <v>271</v>
      </c>
    </row>
    <row r="20" ht="16.5" customHeight="1">
      <c r="A20" s="2" t="s">
        <v>19</v>
      </c>
      <c r="B20" s="8" t="s">
        <v>272</v>
      </c>
      <c r="C20" s="8" t="s">
        <v>273</v>
      </c>
      <c r="D20" s="8" t="s">
        <v>274</v>
      </c>
      <c r="E20" s="8" t="s">
        <v>275</v>
      </c>
      <c r="F20" s="8" t="s">
        <v>276</v>
      </c>
      <c r="G20" s="8" t="s">
        <v>277</v>
      </c>
      <c r="H20" s="8" t="s">
        <v>278</v>
      </c>
      <c r="I20" s="8" t="s">
        <v>279</v>
      </c>
      <c r="J20" s="7"/>
      <c r="K20" s="8" t="s">
        <v>280</v>
      </c>
      <c r="L20" s="8" t="s">
        <v>281</v>
      </c>
      <c r="M20" s="8" t="s">
        <v>282</v>
      </c>
      <c r="N20" s="8" t="s">
        <v>283</v>
      </c>
      <c r="O20" s="8" t="s">
        <v>284</v>
      </c>
      <c r="P20" s="8" t="s">
        <v>285</v>
      </c>
      <c r="Q20" s="8" t="s">
        <v>286</v>
      </c>
      <c r="R20" s="8" t="s">
        <v>287</v>
      </c>
      <c r="S20" s="8" t="s">
        <v>288</v>
      </c>
      <c r="T20" s="4"/>
      <c r="U20" s="8" t="s">
        <v>289</v>
      </c>
      <c r="V20" s="8" t="s">
        <v>290</v>
      </c>
      <c r="W20" s="8" t="s">
        <v>291</v>
      </c>
    </row>
    <row r="21" ht="16.5" customHeight="1">
      <c r="A21" s="2" t="s">
        <v>20</v>
      </c>
      <c r="B21" s="8" t="s">
        <v>292</v>
      </c>
      <c r="C21" s="8" t="s">
        <v>293</v>
      </c>
      <c r="D21" s="8" t="s">
        <v>294</v>
      </c>
      <c r="E21" s="8" t="s">
        <v>295</v>
      </c>
      <c r="F21" s="8" t="s">
        <v>296</v>
      </c>
      <c r="G21" s="8" t="s">
        <v>297</v>
      </c>
      <c r="H21" s="8" t="s">
        <v>298</v>
      </c>
      <c r="I21" s="8" t="s">
        <v>299</v>
      </c>
      <c r="J21" s="8" t="s">
        <v>300</v>
      </c>
      <c r="K21" s="8" t="s">
        <v>301</v>
      </c>
      <c r="L21" s="7"/>
      <c r="M21" s="8" t="s">
        <v>302</v>
      </c>
      <c r="N21" s="8" t="s">
        <v>303</v>
      </c>
      <c r="O21" s="8" t="s">
        <v>304</v>
      </c>
      <c r="P21" s="8" t="s">
        <v>305</v>
      </c>
      <c r="Q21" s="8" t="s">
        <v>306</v>
      </c>
      <c r="R21" s="8" t="s">
        <v>307</v>
      </c>
      <c r="S21" s="8" t="s">
        <v>308</v>
      </c>
      <c r="T21" s="13" t="s">
        <v>309</v>
      </c>
      <c r="U21" s="4"/>
      <c r="V21" s="8" t="s">
        <v>310</v>
      </c>
      <c r="W21" s="8" t="s">
        <v>311</v>
      </c>
    </row>
    <row r="22" ht="16.5" customHeight="1">
      <c r="A22" s="2" t="s">
        <v>21</v>
      </c>
      <c r="B22" s="7"/>
      <c r="C22" s="8" t="s">
        <v>312</v>
      </c>
      <c r="D22" s="8" t="s">
        <v>313</v>
      </c>
      <c r="E22" s="8" t="s">
        <v>314</v>
      </c>
      <c r="F22" s="8" t="s">
        <v>315</v>
      </c>
      <c r="G22" s="8" t="s">
        <v>316</v>
      </c>
      <c r="H22" s="8" t="s">
        <v>317</v>
      </c>
      <c r="I22" s="8" t="s">
        <v>318</v>
      </c>
      <c r="J22" s="8" t="s">
        <v>319</v>
      </c>
      <c r="K22" s="8" t="s">
        <v>112</v>
      </c>
      <c r="L22" s="8" t="s">
        <v>320</v>
      </c>
      <c r="M22" s="8" t="s">
        <v>321</v>
      </c>
      <c r="N22" s="8" t="s">
        <v>322</v>
      </c>
      <c r="O22" s="8" t="s">
        <v>323</v>
      </c>
      <c r="P22" s="8" t="s">
        <v>324</v>
      </c>
      <c r="Q22" s="8" t="s">
        <v>325</v>
      </c>
      <c r="R22" s="8" t="s">
        <v>326</v>
      </c>
      <c r="S22" s="8" t="s">
        <v>327</v>
      </c>
      <c r="T22" s="8" t="s">
        <v>328</v>
      </c>
      <c r="U22" s="8" t="s">
        <v>329</v>
      </c>
      <c r="V22" s="4"/>
      <c r="W22" s="8" t="s">
        <v>330</v>
      </c>
    </row>
    <row r="23" ht="16.5" customHeight="1">
      <c r="A23" s="2" t="s">
        <v>22</v>
      </c>
      <c r="B23" s="6" t="s">
        <v>331</v>
      </c>
      <c r="C23" s="8" t="s">
        <v>332</v>
      </c>
      <c r="D23" s="8" t="s">
        <v>333</v>
      </c>
      <c r="E23" s="8" t="s">
        <v>334</v>
      </c>
      <c r="F23" s="8" t="s">
        <v>335</v>
      </c>
      <c r="G23" s="8" t="s">
        <v>336</v>
      </c>
      <c r="H23" s="8" t="s">
        <v>337</v>
      </c>
      <c r="I23" s="8" t="s">
        <v>338</v>
      </c>
      <c r="J23" s="8" t="s">
        <v>339</v>
      </c>
      <c r="K23" s="8" t="s">
        <v>340</v>
      </c>
      <c r="L23" s="8" t="s">
        <v>341</v>
      </c>
      <c r="M23" s="8" t="s">
        <v>342</v>
      </c>
      <c r="N23" s="8" t="s">
        <v>343</v>
      </c>
      <c r="O23" s="8" t="s">
        <v>344</v>
      </c>
      <c r="P23" s="7"/>
      <c r="Q23" s="8" t="s">
        <v>345</v>
      </c>
      <c r="R23" s="8" t="s">
        <v>346</v>
      </c>
      <c r="S23" s="8" t="s">
        <v>347</v>
      </c>
      <c r="T23" s="8" t="s">
        <v>348</v>
      </c>
      <c r="U23" s="8" t="s">
        <v>349</v>
      </c>
      <c r="V23" s="8" t="s">
        <v>350</v>
      </c>
      <c r="W23" s="14"/>
    </row>
    <row r="24" ht="16.5" customHeight="1">
      <c r="A24" s="2"/>
      <c r="G24" s="8"/>
      <c r="J24" s="8"/>
      <c r="M24" s="8"/>
      <c r="N24" s="13"/>
      <c r="P24" s="8"/>
      <c r="X24" s="15"/>
    </row>
    <row r="25" ht="16.5" customHeight="1">
      <c r="A25" s="1"/>
      <c r="B25" s="16" t="s">
        <v>351</v>
      </c>
      <c r="D25" s="17" t="s">
        <v>352</v>
      </c>
      <c r="E25" s="17" t="s">
        <v>353</v>
      </c>
      <c r="F25" s="17" t="s">
        <v>354</v>
      </c>
      <c r="G25" s="17" t="s">
        <v>355</v>
      </c>
      <c r="H25" s="17" t="s">
        <v>356</v>
      </c>
      <c r="I25" s="17" t="s">
        <v>357</v>
      </c>
      <c r="J25" s="17" t="s">
        <v>358</v>
      </c>
      <c r="K25" s="8" t="s">
        <v>359</v>
      </c>
      <c r="L25" s="8" t="s">
        <v>360</v>
      </c>
      <c r="M25" s="18" t="s">
        <v>361</v>
      </c>
      <c r="N25" s="18" t="s">
        <v>362</v>
      </c>
      <c r="O25" s="18" t="s">
        <v>363</v>
      </c>
      <c r="P25" s="18" t="s">
        <v>364</v>
      </c>
    </row>
    <row r="26" ht="16.5" customHeight="1">
      <c r="A26" s="1"/>
      <c r="B26" s="16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440</v>
      </c>
      <c r="D26" s="19">
        <f>COUNTIF(B2:W23,"*[S, R2]*")+COUNTIF(B2:W23,"*[R2, S]*")+COUNTIF(B2:W23,"*[R2, S']*")+COUNTIF(B2:W23,"*[S', R2]*")</f>
        <v>28</v>
      </c>
      <c r="E26" s="19">
        <f>COUNTIF(B2:W23,"*[S, L2]*")+COUNTIF(B2:W23,"*[L2, S]*")+COUNTIF(B2:W23,"*[L2, S']*")+COUNTIF(B2:W23,"*[S', L2]*")</f>
        <v>17</v>
      </c>
      <c r="F26" s="19">
        <f>COUNTIF(B2:W23,"*[E, L2]*")+COUNTIF(B2:W23,"*[L2, E]*")+COUNTIF(B2:W23,"*[L2, E']*")+COUNTIF(B2:W23,"*[E', L2]*")</f>
        <v>38</v>
      </c>
      <c r="G26" s="19">
        <f>COUNTIF(B2:W23,"*[E, R2]*")+COUNTIF(B2:W23,"*[R2, E]*")+COUNTIF(B2:W23,"*[R2, E']*")+COUNTIF(B2:W23,"*[E', R2]*")</f>
        <v>53</v>
      </c>
      <c r="H26" s="19">
        <f>COUNTIF(B2:W23,"*[M, U2]*")+COUNTIF(B2:W23,"*[U2, M]*")+COUNTIF(B2:W23,"*[U2, M']*")+COUNTIF(B2:W23,"*[M', U2]*")</f>
        <v>21</v>
      </c>
      <c r="I26" s="19">
        <f>COUNTIF(B2:W23,"*[M, D2]*")+COUNTIF(B2:W23,"*[D2, M]*")+COUNTIF(B2:W23,"*[D2, M']*")+COUNTIF(B2:W23,"*[M', D2]*")</f>
        <v>0</v>
      </c>
      <c r="J26" s="19">
        <f>COUNTIF(B2:W23,"*M u2 M u2*")+COUNTIF(B2:W23,"*u2 M' u2 M'*")+COUNTIF(B2:W23,"*M' u2 M' u2*")+COUNTIF(B2:W23,"*u2 M u2 M*")+COUNTIF(B2:W23,"*u' M u2 M u'*")+COUNTIF(B2:W23,"*u M u2 M u*")+COUNTIF(B2:W23,"*u' M' u2 M' u'*")+COUNTIF(B2:W23,"*u M' u2 M' u*")</f>
        <v>6</v>
      </c>
      <c r="K26">
        <f>SUM(D26:J26)</f>
        <v>163</v>
      </c>
      <c r="L26" s="8">
        <v>15.0</v>
      </c>
      <c r="M26" s="19">
        <f>COUNTIF(B2:W23,"*S*")</f>
        <v>134</v>
      </c>
      <c r="N26" s="19">
        <f>COUNTIF(B2:W23,"*E*")</f>
        <v>194</v>
      </c>
      <c r="O26" s="19">
        <f>COUNTIF(B2:W23,"*M*")</f>
        <v>130</v>
      </c>
      <c r="P26" s="19">
        <f>M26+N26+O26-B26</f>
        <v>18</v>
      </c>
    </row>
    <row r="27" ht="16.5" customHeight="1">
      <c r="A27" s="1"/>
      <c r="D27" s="20">
        <f>D26/B26</f>
        <v>0.06363636364</v>
      </c>
      <c r="E27" s="20">
        <f>E26/B26</f>
        <v>0.03863636364</v>
      </c>
      <c r="F27" s="20">
        <f>F26/B26</f>
        <v>0.08636363636</v>
      </c>
      <c r="G27" s="21">
        <f>G26/B26</f>
        <v>0.1204545455</v>
      </c>
      <c r="H27" s="20">
        <f>H26/B26</f>
        <v>0.04772727273</v>
      </c>
      <c r="I27" s="20">
        <f>I26/B26</f>
        <v>0</v>
      </c>
      <c r="J27" s="20">
        <f>J26/B26</f>
        <v>0.01363636364</v>
      </c>
      <c r="K27" s="22">
        <f>K26/440</f>
        <v>0.3704545455</v>
      </c>
      <c r="L27" s="20">
        <f>L26/B26</f>
        <v>0.03409090909</v>
      </c>
      <c r="M27" s="20">
        <f>M26/B26</f>
        <v>0.3045454545</v>
      </c>
      <c r="N27" s="20">
        <f>N26/B26</f>
        <v>0.4409090909</v>
      </c>
      <c r="O27" s="20">
        <f>O26/B26</f>
        <v>0.2954545455</v>
      </c>
      <c r="P27" s="20">
        <f>P26/440</f>
        <v>0.04090909091</v>
      </c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4" width="16.71"/>
  </cols>
  <sheetData>
    <row r="1" ht="16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22</v>
      </c>
      <c r="V1" s="2"/>
      <c r="W1" s="1"/>
      <c r="X1" s="1"/>
    </row>
    <row r="2" ht="16.5" customHeight="1">
      <c r="A2" s="23" t="s">
        <v>2</v>
      </c>
      <c r="B2" s="24"/>
      <c r="C2" s="25" t="s">
        <v>365</v>
      </c>
      <c r="D2" s="26" t="s">
        <v>366</v>
      </c>
      <c r="E2" s="26" t="s">
        <v>367</v>
      </c>
      <c r="F2" s="26" t="s">
        <v>368</v>
      </c>
      <c r="G2" s="26" t="s">
        <v>369</v>
      </c>
      <c r="H2" s="26" t="s">
        <v>370</v>
      </c>
      <c r="I2" s="26" t="s">
        <v>371</v>
      </c>
      <c r="J2" s="26" t="s">
        <v>372</v>
      </c>
      <c r="K2" s="26" t="s">
        <v>373</v>
      </c>
      <c r="L2" s="26" t="s">
        <v>374</v>
      </c>
      <c r="M2" s="26" t="s">
        <v>375</v>
      </c>
      <c r="N2" s="27"/>
      <c r="O2" s="26" t="s">
        <v>376</v>
      </c>
      <c r="P2" s="28" t="s">
        <v>377</v>
      </c>
      <c r="Q2" s="26" t="s">
        <v>378</v>
      </c>
      <c r="R2" s="26" t="s">
        <v>379</v>
      </c>
      <c r="S2" s="26" t="s">
        <v>380</v>
      </c>
      <c r="T2" s="26" t="s">
        <v>381</v>
      </c>
      <c r="U2" s="26" t="s">
        <v>382</v>
      </c>
      <c r="W2" s="8"/>
    </row>
    <row r="3" ht="16.5" customHeight="1">
      <c r="A3" s="23" t="s">
        <v>3</v>
      </c>
      <c r="B3" s="25" t="s">
        <v>383</v>
      </c>
      <c r="C3" s="29"/>
      <c r="D3" s="26" t="s">
        <v>384</v>
      </c>
      <c r="E3" s="26" t="s">
        <v>385</v>
      </c>
      <c r="F3" s="26" t="s">
        <v>386</v>
      </c>
      <c r="G3" s="30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6" t="s">
        <v>392</v>
      </c>
      <c r="M3" s="26" t="s">
        <v>393</v>
      </c>
      <c r="N3" s="26" t="s">
        <v>394</v>
      </c>
      <c r="O3" s="26" t="s">
        <v>395</v>
      </c>
      <c r="P3" s="31"/>
      <c r="Q3" s="26" t="s">
        <v>396</v>
      </c>
      <c r="R3" s="26" t="s">
        <v>397</v>
      </c>
      <c r="S3" s="26" t="s">
        <v>398</v>
      </c>
      <c r="T3" s="26" t="s">
        <v>399</v>
      </c>
      <c r="U3" s="26" t="s">
        <v>400</v>
      </c>
      <c r="W3" s="8" t="s">
        <v>401</v>
      </c>
    </row>
    <row r="4" ht="16.5" customHeight="1">
      <c r="A4" s="23" t="s">
        <v>4</v>
      </c>
      <c r="B4" s="26" t="s">
        <v>402</v>
      </c>
      <c r="C4" s="26" t="s">
        <v>403</v>
      </c>
      <c r="D4" s="29"/>
      <c r="E4" s="26" t="s">
        <v>404</v>
      </c>
      <c r="F4" s="26" t="s">
        <v>405</v>
      </c>
      <c r="G4" s="8" t="s">
        <v>406</v>
      </c>
      <c r="H4" s="26" t="s">
        <v>407</v>
      </c>
      <c r="I4" s="26" t="s">
        <v>408</v>
      </c>
      <c r="J4" s="26" t="s">
        <v>409</v>
      </c>
      <c r="K4" s="26" t="s">
        <v>410</v>
      </c>
      <c r="L4" s="26" t="s">
        <v>411</v>
      </c>
      <c r="M4" s="31"/>
      <c r="N4" s="26" t="s">
        <v>412</v>
      </c>
      <c r="O4" s="26" t="s">
        <v>413</v>
      </c>
      <c r="P4" s="26" t="s">
        <v>414</v>
      </c>
      <c r="Q4" s="26" t="s">
        <v>415</v>
      </c>
      <c r="R4" s="26" t="s">
        <v>416</v>
      </c>
      <c r="S4" s="26" t="s">
        <v>417</v>
      </c>
      <c r="T4" s="26" t="s">
        <v>418</v>
      </c>
      <c r="U4" s="26" t="s">
        <v>419</v>
      </c>
    </row>
    <row r="5" ht="16.5" customHeight="1">
      <c r="A5" s="23" t="s">
        <v>5</v>
      </c>
      <c r="B5" s="26" t="s">
        <v>420</v>
      </c>
      <c r="C5" s="26" t="s">
        <v>421</v>
      </c>
      <c r="D5" s="26" t="s">
        <v>422</v>
      </c>
      <c r="E5" s="29"/>
      <c r="F5" s="26" t="s">
        <v>423</v>
      </c>
      <c r="G5" s="31"/>
      <c r="H5" s="26" t="s">
        <v>424</v>
      </c>
      <c r="I5" s="26" t="s">
        <v>425</v>
      </c>
      <c r="J5" s="26" t="s">
        <v>426</v>
      </c>
      <c r="K5" s="26" t="s">
        <v>427</v>
      </c>
      <c r="L5" s="26" t="s">
        <v>428</v>
      </c>
      <c r="M5" s="26" t="s">
        <v>429</v>
      </c>
      <c r="N5" s="26" t="s">
        <v>430</v>
      </c>
      <c r="O5" s="26" t="s">
        <v>431</v>
      </c>
      <c r="P5" s="26" t="s">
        <v>432</v>
      </c>
      <c r="Q5" s="26" t="s">
        <v>433</v>
      </c>
      <c r="R5" s="26" t="s">
        <v>434</v>
      </c>
      <c r="S5" s="26" t="s">
        <v>435</v>
      </c>
      <c r="T5" s="26" t="s">
        <v>436</v>
      </c>
      <c r="U5" s="26" t="s">
        <v>437</v>
      </c>
      <c r="W5" s="8" t="s">
        <v>25</v>
      </c>
    </row>
    <row r="6" ht="16.5" customHeight="1">
      <c r="A6" s="23" t="s">
        <v>6</v>
      </c>
      <c r="B6" s="26" t="s">
        <v>438</v>
      </c>
      <c r="C6" s="26" t="s">
        <v>439</v>
      </c>
      <c r="D6" s="26" t="s">
        <v>440</v>
      </c>
      <c r="E6" s="26" t="s">
        <v>441</v>
      </c>
      <c r="F6" s="29"/>
      <c r="G6" s="8" t="s">
        <v>442</v>
      </c>
      <c r="H6" s="26" t="s">
        <v>443</v>
      </c>
      <c r="I6" s="26" t="s">
        <v>444</v>
      </c>
      <c r="J6" s="26" t="s">
        <v>445</v>
      </c>
      <c r="K6" s="26" t="s">
        <v>446</v>
      </c>
      <c r="L6" s="26" t="s">
        <v>447</v>
      </c>
      <c r="M6" s="26" t="s">
        <v>448</v>
      </c>
      <c r="N6" s="26" t="s">
        <v>449</v>
      </c>
      <c r="O6" s="26" t="s">
        <v>450</v>
      </c>
      <c r="P6" s="26" t="s">
        <v>451</v>
      </c>
      <c r="Q6" s="31"/>
      <c r="R6" s="26" t="s">
        <v>452</v>
      </c>
      <c r="S6" s="26" t="s">
        <v>453</v>
      </c>
      <c r="T6" s="26" t="s">
        <v>454</v>
      </c>
      <c r="U6" s="26" t="s">
        <v>455</v>
      </c>
      <c r="W6" s="9">
        <v>44790.0</v>
      </c>
    </row>
    <row r="7" ht="16.5" customHeight="1">
      <c r="A7" s="2" t="s">
        <v>7</v>
      </c>
      <c r="B7" s="26" t="s">
        <v>456</v>
      </c>
      <c r="C7" s="30" t="s">
        <v>457</v>
      </c>
      <c r="D7" s="8" t="s">
        <v>458</v>
      </c>
      <c r="E7" s="7"/>
      <c r="F7" s="8" t="s">
        <v>459</v>
      </c>
      <c r="G7" s="4"/>
      <c r="H7" s="8" t="s">
        <v>460</v>
      </c>
      <c r="I7" s="8" t="s">
        <v>461</v>
      </c>
      <c r="J7" s="8" t="s">
        <v>462</v>
      </c>
      <c r="K7" s="8" t="s">
        <v>463</v>
      </c>
      <c r="L7" s="8" t="s">
        <v>464</v>
      </c>
      <c r="M7" s="8" t="s">
        <v>465</v>
      </c>
      <c r="N7" s="8" t="s">
        <v>466</v>
      </c>
      <c r="O7" s="8" t="s">
        <v>467</v>
      </c>
      <c r="P7" s="8" t="s">
        <v>468</v>
      </c>
      <c r="Q7" s="8" t="s">
        <v>469</v>
      </c>
      <c r="R7" s="8" t="s">
        <v>470</v>
      </c>
      <c r="S7" s="8" t="s">
        <v>471</v>
      </c>
      <c r="T7" s="8" t="s">
        <v>472</v>
      </c>
      <c r="U7" s="8" t="s">
        <v>473</v>
      </c>
    </row>
    <row r="8" ht="16.5" customHeight="1">
      <c r="A8" s="2" t="s">
        <v>8</v>
      </c>
      <c r="B8" s="26" t="s">
        <v>474</v>
      </c>
      <c r="C8" s="8" t="s">
        <v>475</v>
      </c>
      <c r="D8" s="11" t="s">
        <v>476</v>
      </c>
      <c r="E8" s="26" t="s">
        <v>477</v>
      </c>
      <c r="F8" s="26" t="s">
        <v>478</v>
      </c>
      <c r="G8" s="8" t="s">
        <v>479</v>
      </c>
      <c r="H8" s="4"/>
      <c r="I8" s="8" t="s">
        <v>480</v>
      </c>
      <c r="J8" s="8" t="s">
        <v>481</v>
      </c>
      <c r="K8" s="8" t="s">
        <v>482</v>
      </c>
      <c r="L8" s="7"/>
      <c r="M8" s="8" t="s">
        <v>483</v>
      </c>
      <c r="N8" s="8" t="s">
        <v>484</v>
      </c>
      <c r="O8" s="8" t="s">
        <v>485</v>
      </c>
      <c r="P8" s="8" t="s">
        <v>486</v>
      </c>
      <c r="Q8" s="8" t="s">
        <v>487</v>
      </c>
      <c r="R8" s="8" t="s">
        <v>488</v>
      </c>
      <c r="S8" s="8" t="s">
        <v>489</v>
      </c>
      <c r="T8" s="8" t="s">
        <v>490</v>
      </c>
      <c r="U8" s="8" t="s">
        <v>491</v>
      </c>
    </row>
    <row r="9" ht="16.5" customHeight="1">
      <c r="A9" s="2" t="s">
        <v>9</v>
      </c>
      <c r="B9" s="26" t="s">
        <v>492</v>
      </c>
      <c r="C9" s="26" t="s">
        <v>493</v>
      </c>
      <c r="D9" s="26" t="s">
        <v>494</v>
      </c>
      <c r="E9" s="26" t="s">
        <v>495</v>
      </c>
      <c r="F9" s="26" t="s">
        <v>496</v>
      </c>
      <c r="G9" s="8" t="s">
        <v>497</v>
      </c>
      <c r="H9" s="8" t="s">
        <v>498</v>
      </c>
      <c r="I9" s="4"/>
      <c r="J9" s="8" t="s">
        <v>499</v>
      </c>
      <c r="K9" s="8" t="s">
        <v>500</v>
      </c>
      <c r="L9" s="8" t="s">
        <v>501</v>
      </c>
      <c r="M9" s="8" t="s">
        <v>502</v>
      </c>
      <c r="N9" s="8" t="s">
        <v>503</v>
      </c>
      <c r="O9" s="8" t="s">
        <v>504</v>
      </c>
      <c r="P9" s="8" t="s">
        <v>505</v>
      </c>
      <c r="Q9" s="8" t="s">
        <v>506</v>
      </c>
      <c r="R9" s="8" t="s">
        <v>507</v>
      </c>
      <c r="S9" s="7"/>
      <c r="T9" s="8" t="s">
        <v>508</v>
      </c>
      <c r="U9" s="8" t="s">
        <v>509</v>
      </c>
    </row>
    <row r="10" ht="16.5" customHeight="1">
      <c r="A10" s="2" t="s">
        <v>10</v>
      </c>
      <c r="B10" s="8" t="s">
        <v>510</v>
      </c>
      <c r="C10" s="26" t="s">
        <v>511</v>
      </c>
      <c r="D10" s="26" t="s">
        <v>512</v>
      </c>
      <c r="E10" s="26" t="s">
        <v>513</v>
      </c>
      <c r="F10" s="8" t="s">
        <v>514</v>
      </c>
      <c r="G10" s="8" t="s">
        <v>515</v>
      </c>
      <c r="H10" s="8" t="s">
        <v>516</v>
      </c>
      <c r="I10" s="8" t="s">
        <v>517</v>
      </c>
      <c r="J10" s="4"/>
      <c r="K10" s="8" t="s">
        <v>518</v>
      </c>
      <c r="L10" s="8" t="s">
        <v>519</v>
      </c>
      <c r="M10" s="8" t="s">
        <v>520</v>
      </c>
      <c r="N10" s="8" t="s">
        <v>521</v>
      </c>
      <c r="O10" s="8" t="s">
        <v>522</v>
      </c>
      <c r="P10" s="8" t="s">
        <v>523</v>
      </c>
      <c r="Q10" s="8" t="s">
        <v>524</v>
      </c>
      <c r="R10" s="7"/>
      <c r="S10" s="8" t="s">
        <v>525</v>
      </c>
      <c r="T10" s="8" t="s">
        <v>526</v>
      </c>
      <c r="U10" s="8" t="s">
        <v>527</v>
      </c>
    </row>
    <row r="11" ht="16.5" customHeight="1">
      <c r="A11" s="2" t="s">
        <v>11</v>
      </c>
      <c r="B11" s="26" t="s">
        <v>528</v>
      </c>
      <c r="C11" s="26" t="s">
        <v>529</v>
      </c>
      <c r="D11" s="26" t="s">
        <v>530</v>
      </c>
      <c r="E11" s="26" t="s">
        <v>531</v>
      </c>
      <c r="F11" s="26" t="s">
        <v>532</v>
      </c>
      <c r="G11" s="8" t="s">
        <v>533</v>
      </c>
      <c r="H11" s="8" t="s">
        <v>534</v>
      </c>
      <c r="I11" s="8" t="s">
        <v>535</v>
      </c>
      <c r="J11" s="8" t="s">
        <v>536</v>
      </c>
      <c r="K11" s="4"/>
      <c r="L11" s="8" t="s">
        <v>537</v>
      </c>
      <c r="M11" s="8" t="s">
        <v>538</v>
      </c>
      <c r="N11" s="8" t="s">
        <v>539</v>
      </c>
      <c r="O11" s="8" t="s">
        <v>540</v>
      </c>
      <c r="P11" s="8" t="s">
        <v>541</v>
      </c>
      <c r="Q11" s="8" t="s">
        <v>542</v>
      </c>
      <c r="R11" s="8" t="s">
        <v>543</v>
      </c>
      <c r="S11" s="8" t="s">
        <v>544</v>
      </c>
      <c r="T11" s="7"/>
      <c r="U11" s="8" t="s">
        <v>545</v>
      </c>
    </row>
    <row r="12" ht="16.5" customHeight="1">
      <c r="A12" s="2" t="s">
        <v>12</v>
      </c>
      <c r="B12" s="26" t="s">
        <v>546</v>
      </c>
      <c r="C12" s="26" t="s">
        <v>547</v>
      </c>
      <c r="D12" s="26" t="s">
        <v>548</v>
      </c>
      <c r="E12" s="8" t="s">
        <v>549</v>
      </c>
      <c r="F12" s="26" t="s">
        <v>550</v>
      </c>
      <c r="G12" s="8" t="s">
        <v>551</v>
      </c>
      <c r="H12" s="7"/>
      <c r="I12" s="8" t="s">
        <v>552</v>
      </c>
      <c r="J12" s="8" t="s">
        <v>553</v>
      </c>
      <c r="K12" s="8" t="s">
        <v>554</v>
      </c>
      <c r="L12" s="4"/>
      <c r="M12" s="8" t="s">
        <v>555</v>
      </c>
      <c r="N12" s="8" t="s">
        <v>556</v>
      </c>
      <c r="O12" s="8" t="s">
        <v>557</v>
      </c>
      <c r="P12" s="8" t="s">
        <v>558</v>
      </c>
      <c r="Q12" s="8" t="s">
        <v>559</v>
      </c>
      <c r="R12" s="8" t="s">
        <v>560</v>
      </c>
      <c r="S12" s="8" t="s">
        <v>561</v>
      </c>
      <c r="T12" s="8" t="s">
        <v>562</v>
      </c>
      <c r="U12" s="8" t="s">
        <v>563</v>
      </c>
    </row>
    <row r="13" ht="16.5" customHeight="1">
      <c r="A13" s="2" t="s">
        <v>13</v>
      </c>
      <c r="B13" s="26" t="s">
        <v>564</v>
      </c>
      <c r="C13" s="26" t="s">
        <v>565</v>
      </c>
      <c r="D13" s="7"/>
      <c r="E13" s="26" t="s">
        <v>566</v>
      </c>
      <c r="F13" s="26" t="s">
        <v>567</v>
      </c>
      <c r="G13" s="8" t="s">
        <v>568</v>
      </c>
      <c r="H13" s="8" t="s">
        <v>569</v>
      </c>
      <c r="I13" s="8" t="s">
        <v>570</v>
      </c>
      <c r="J13" s="8" t="s">
        <v>571</v>
      </c>
      <c r="K13" s="8" t="s">
        <v>572</v>
      </c>
      <c r="L13" s="8" t="s">
        <v>573</v>
      </c>
      <c r="M13" s="4"/>
      <c r="N13" s="8" t="s">
        <v>574</v>
      </c>
      <c r="O13" s="8" t="s">
        <v>575</v>
      </c>
      <c r="P13" s="8" t="s">
        <v>576</v>
      </c>
      <c r="Q13" s="8" t="s">
        <v>577</v>
      </c>
      <c r="R13" s="8" t="s">
        <v>578</v>
      </c>
      <c r="S13" s="8" t="s">
        <v>579</v>
      </c>
      <c r="T13" s="13" t="s">
        <v>580</v>
      </c>
      <c r="U13" s="8" t="s">
        <v>581</v>
      </c>
    </row>
    <row r="14" ht="16.5" customHeight="1">
      <c r="A14" s="2" t="s">
        <v>14</v>
      </c>
      <c r="B14" s="7"/>
      <c r="C14" s="26" t="s">
        <v>582</v>
      </c>
      <c r="D14" s="26" t="s">
        <v>583</v>
      </c>
      <c r="E14" s="26" t="s">
        <v>584</v>
      </c>
      <c r="F14" s="26" t="s">
        <v>585</v>
      </c>
      <c r="G14" s="8" t="s">
        <v>586</v>
      </c>
      <c r="H14" s="8" t="s">
        <v>587</v>
      </c>
      <c r="I14" s="8" t="s">
        <v>588</v>
      </c>
      <c r="J14" s="8" t="s">
        <v>589</v>
      </c>
      <c r="K14" s="8" t="s">
        <v>590</v>
      </c>
      <c r="L14" s="8" t="s">
        <v>591</v>
      </c>
      <c r="M14" s="8" t="s">
        <v>592</v>
      </c>
      <c r="N14" s="4"/>
      <c r="O14" s="8" t="s">
        <v>593</v>
      </c>
      <c r="P14" s="8" t="s">
        <v>594</v>
      </c>
      <c r="Q14" s="8" t="s">
        <v>595</v>
      </c>
      <c r="R14" s="8" t="s">
        <v>596</v>
      </c>
      <c r="S14" s="8" t="s">
        <v>597</v>
      </c>
      <c r="T14" s="8" t="s">
        <v>598</v>
      </c>
      <c r="U14" s="8" t="s">
        <v>599</v>
      </c>
    </row>
    <row r="15" ht="16.5" customHeight="1">
      <c r="A15" s="2" t="s">
        <v>15</v>
      </c>
      <c r="B15" s="8" t="s">
        <v>600</v>
      </c>
      <c r="C15" s="26" t="s">
        <v>601</v>
      </c>
      <c r="D15" s="26" t="s">
        <v>602</v>
      </c>
      <c r="E15" s="26" t="s">
        <v>603</v>
      </c>
      <c r="F15" s="26" t="s">
        <v>604</v>
      </c>
      <c r="G15" s="8" t="s">
        <v>605</v>
      </c>
      <c r="H15" s="8" t="s">
        <v>606</v>
      </c>
      <c r="I15" s="8" t="s">
        <v>607</v>
      </c>
      <c r="J15" s="8" t="s">
        <v>608</v>
      </c>
      <c r="K15" s="8" t="s">
        <v>609</v>
      </c>
      <c r="L15" s="8" t="s">
        <v>610</v>
      </c>
      <c r="M15" s="8" t="s">
        <v>611</v>
      </c>
      <c r="N15" s="8" t="s">
        <v>612</v>
      </c>
      <c r="O15" s="4"/>
      <c r="P15" s="8" t="s">
        <v>610</v>
      </c>
      <c r="Q15" s="8" t="s">
        <v>613</v>
      </c>
      <c r="R15" s="8" t="s">
        <v>614</v>
      </c>
      <c r="S15" s="8" t="s">
        <v>615</v>
      </c>
      <c r="T15" s="8" t="s">
        <v>616</v>
      </c>
      <c r="U15" s="7"/>
    </row>
    <row r="16" ht="16.5" customHeight="1">
      <c r="A16" s="2" t="s">
        <v>16</v>
      </c>
      <c r="B16" s="28" t="s">
        <v>617</v>
      </c>
      <c r="C16" s="7"/>
      <c r="D16" s="26" t="s">
        <v>618</v>
      </c>
      <c r="E16" s="8" t="s">
        <v>619</v>
      </c>
      <c r="F16" s="26" t="s">
        <v>620</v>
      </c>
      <c r="G16" s="8" t="s">
        <v>621</v>
      </c>
      <c r="H16" s="8" t="s">
        <v>622</v>
      </c>
      <c r="I16" s="8" t="s">
        <v>623</v>
      </c>
      <c r="J16" s="8" t="s">
        <v>624</v>
      </c>
      <c r="K16" s="8" t="s">
        <v>625</v>
      </c>
      <c r="L16" s="8" t="s">
        <v>626</v>
      </c>
      <c r="M16" s="8" t="s">
        <v>627</v>
      </c>
      <c r="N16" s="8" t="s">
        <v>628</v>
      </c>
      <c r="O16" s="8" t="s">
        <v>629</v>
      </c>
      <c r="P16" s="4"/>
      <c r="Q16" s="8" t="s">
        <v>630</v>
      </c>
      <c r="R16" s="8" t="s">
        <v>631</v>
      </c>
      <c r="S16" s="8" t="s">
        <v>632</v>
      </c>
      <c r="T16" s="8" t="s">
        <v>633</v>
      </c>
      <c r="U16" s="8" t="s">
        <v>634</v>
      </c>
    </row>
    <row r="17" ht="16.5" customHeight="1">
      <c r="A17" s="2" t="s">
        <v>17</v>
      </c>
      <c r="B17" s="26" t="s">
        <v>635</v>
      </c>
      <c r="C17" s="26" t="s">
        <v>636</v>
      </c>
      <c r="D17" s="26" t="s">
        <v>637</v>
      </c>
      <c r="E17" s="26" t="s">
        <v>638</v>
      </c>
      <c r="F17" s="7"/>
      <c r="G17" s="8" t="s">
        <v>639</v>
      </c>
      <c r="H17" s="8" t="s">
        <v>640</v>
      </c>
      <c r="I17" s="8" t="s">
        <v>641</v>
      </c>
      <c r="J17" s="8" t="s">
        <v>642</v>
      </c>
      <c r="K17" s="8" t="s">
        <v>643</v>
      </c>
      <c r="L17" s="8" t="s">
        <v>644</v>
      </c>
      <c r="M17" s="8" t="s">
        <v>645</v>
      </c>
      <c r="N17" s="8" t="s">
        <v>646</v>
      </c>
      <c r="O17" s="8" t="s">
        <v>647</v>
      </c>
      <c r="P17" s="8" t="s">
        <v>648</v>
      </c>
      <c r="Q17" s="4"/>
      <c r="R17" s="8" t="s">
        <v>649</v>
      </c>
      <c r="S17" s="8" t="s">
        <v>650</v>
      </c>
      <c r="T17" s="8" t="s">
        <v>651</v>
      </c>
      <c r="U17" s="8" t="s">
        <v>652</v>
      </c>
    </row>
    <row r="18" ht="16.5" customHeight="1">
      <c r="A18" s="2" t="s">
        <v>18</v>
      </c>
      <c r="B18" s="26" t="s">
        <v>653</v>
      </c>
      <c r="C18" s="26" t="s">
        <v>654</v>
      </c>
      <c r="D18" s="26" t="s">
        <v>655</v>
      </c>
      <c r="E18" s="8" t="s">
        <v>656</v>
      </c>
      <c r="F18" s="26" t="s">
        <v>657</v>
      </c>
      <c r="G18" s="8" t="s">
        <v>658</v>
      </c>
      <c r="H18" s="8" t="s">
        <v>659</v>
      </c>
      <c r="I18" s="8" t="s">
        <v>660</v>
      </c>
      <c r="J18" s="7"/>
      <c r="K18" s="8" t="s">
        <v>661</v>
      </c>
      <c r="L18" s="8" t="s">
        <v>662</v>
      </c>
      <c r="M18" s="8" t="s">
        <v>663</v>
      </c>
      <c r="N18" s="8" t="s">
        <v>664</v>
      </c>
      <c r="O18" s="8" t="s">
        <v>665</v>
      </c>
      <c r="P18" s="8" t="s">
        <v>666</v>
      </c>
      <c r="Q18" s="8" t="s">
        <v>667</v>
      </c>
      <c r="R18" s="4"/>
      <c r="S18" s="8" t="s">
        <v>668</v>
      </c>
      <c r="T18" s="8" t="s">
        <v>669</v>
      </c>
      <c r="U18" s="8" t="s">
        <v>670</v>
      </c>
    </row>
    <row r="19" ht="16.5" customHeight="1">
      <c r="A19" s="2" t="s">
        <v>19</v>
      </c>
      <c r="B19" s="26" t="s">
        <v>671</v>
      </c>
      <c r="C19" s="26" t="s">
        <v>672</v>
      </c>
      <c r="D19" s="26" t="s">
        <v>673</v>
      </c>
      <c r="E19" s="8" t="s">
        <v>674</v>
      </c>
      <c r="F19" s="26" t="s">
        <v>675</v>
      </c>
      <c r="G19" s="8" t="s">
        <v>676</v>
      </c>
      <c r="H19" s="8" t="s">
        <v>677</v>
      </c>
      <c r="I19" s="7"/>
      <c r="J19" s="8" t="s">
        <v>678</v>
      </c>
      <c r="K19" s="8" t="s">
        <v>679</v>
      </c>
      <c r="L19" s="8" t="s">
        <v>680</v>
      </c>
      <c r="M19" s="8" t="s">
        <v>681</v>
      </c>
      <c r="N19" s="8" t="s">
        <v>682</v>
      </c>
      <c r="O19" s="8" t="s">
        <v>683</v>
      </c>
      <c r="P19" s="8" t="s">
        <v>684</v>
      </c>
      <c r="Q19" s="8" t="s">
        <v>685</v>
      </c>
      <c r="R19" s="8" t="s">
        <v>686</v>
      </c>
      <c r="S19" s="4"/>
      <c r="T19" s="8" t="s">
        <v>687</v>
      </c>
      <c r="U19" s="8" t="s">
        <v>688</v>
      </c>
    </row>
    <row r="20" ht="16.5" customHeight="1">
      <c r="A20" s="2" t="s">
        <v>20</v>
      </c>
      <c r="B20" s="26" t="s">
        <v>689</v>
      </c>
      <c r="C20" s="26" t="s">
        <v>690</v>
      </c>
      <c r="D20" s="26" t="s">
        <v>691</v>
      </c>
      <c r="E20" s="26" t="s">
        <v>692</v>
      </c>
      <c r="F20" s="26" t="s">
        <v>693</v>
      </c>
      <c r="G20" s="8" t="s">
        <v>694</v>
      </c>
      <c r="H20" s="8" t="s">
        <v>695</v>
      </c>
      <c r="I20" s="8" t="s">
        <v>696</v>
      </c>
      <c r="J20" s="8" t="s">
        <v>697</v>
      </c>
      <c r="K20" s="7"/>
      <c r="L20" s="8" t="s">
        <v>698</v>
      </c>
      <c r="M20" s="8" t="s">
        <v>699</v>
      </c>
      <c r="N20" s="8" t="s">
        <v>700</v>
      </c>
      <c r="O20" s="8" t="s">
        <v>701</v>
      </c>
      <c r="P20" s="8" t="s">
        <v>702</v>
      </c>
      <c r="Q20" s="8" t="s">
        <v>703</v>
      </c>
      <c r="R20" s="8" t="s">
        <v>704</v>
      </c>
      <c r="S20" s="13" t="s">
        <v>705</v>
      </c>
      <c r="T20" s="4"/>
      <c r="U20" s="8" t="s">
        <v>706</v>
      </c>
    </row>
    <row r="21" ht="16.5" customHeight="1">
      <c r="A21" s="2" t="s">
        <v>22</v>
      </c>
      <c r="B21" s="26" t="s">
        <v>707</v>
      </c>
      <c r="C21" s="26" t="s">
        <v>708</v>
      </c>
      <c r="D21" s="26" t="s">
        <v>709</v>
      </c>
      <c r="E21" s="26" t="s">
        <v>710</v>
      </c>
      <c r="F21" s="26" t="s">
        <v>711</v>
      </c>
      <c r="G21" s="8" t="s">
        <v>712</v>
      </c>
      <c r="H21" s="8" t="s">
        <v>713</v>
      </c>
      <c r="I21" s="8" t="s">
        <v>714</v>
      </c>
      <c r="J21" s="8" t="s">
        <v>715</v>
      </c>
      <c r="K21" s="8" t="s">
        <v>716</v>
      </c>
      <c r="L21" s="8" t="s">
        <v>717</v>
      </c>
      <c r="M21" s="8" t="s">
        <v>718</v>
      </c>
      <c r="N21" s="8" t="s">
        <v>719</v>
      </c>
      <c r="O21" s="7"/>
      <c r="P21" s="8" t="s">
        <v>720</v>
      </c>
      <c r="Q21" s="8" t="s">
        <v>721</v>
      </c>
      <c r="R21" s="8" t="s">
        <v>722</v>
      </c>
      <c r="S21" s="8" t="s">
        <v>723</v>
      </c>
      <c r="T21" s="8" t="s">
        <v>724</v>
      </c>
      <c r="U21" s="14"/>
    </row>
    <row r="22" ht="16.5" customHeight="1">
      <c r="A22" s="2"/>
      <c r="F22" s="8"/>
      <c r="I22" s="8"/>
      <c r="L22" s="8"/>
      <c r="M22" s="13"/>
      <c r="O22" s="8"/>
      <c r="V22" s="15"/>
    </row>
    <row r="23" ht="16.5" customHeight="1">
      <c r="A23" s="1"/>
      <c r="B23" s="17" t="s">
        <v>725</v>
      </c>
      <c r="D23" s="17" t="s">
        <v>352</v>
      </c>
      <c r="E23" s="17" t="s">
        <v>353</v>
      </c>
      <c r="F23" s="17" t="s">
        <v>354</v>
      </c>
      <c r="G23" s="17" t="s">
        <v>355</v>
      </c>
      <c r="H23" s="17" t="s">
        <v>356</v>
      </c>
      <c r="I23" s="17" t="s">
        <v>357</v>
      </c>
      <c r="J23" s="17" t="s">
        <v>358</v>
      </c>
      <c r="K23" s="8" t="s">
        <v>359</v>
      </c>
      <c r="L23" s="8" t="s">
        <v>360</v>
      </c>
      <c r="M23" s="18" t="s">
        <v>361</v>
      </c>
      <c r="N23" s="18" t="s">
        <v>362</v>
      </c>
      <c r="O23" s="18" t="s">
        <v>363</v>
      </c>
      <c r="P23" s="18" t="s">
        <v>364</v>
      </c>
    </row>
    <row r="24" ht="16.5" customHeight="1">
      <c r="A24" s="1"/>
      <c r="B24" s="19">
        <f>counta(B2:U21)</f>
        <v>360</v>
      </c>
      <c r="D24" s="19">
        <f>COUNTIF(B3:U21,"*[S, R2]*")+COUNTIF(B3:U21,"*[R2, S]*")+COUNTIF(B3:U21,"*[R2, S']*")+COUNTIF(B3:U21,"*[S', R2]*")</f>
        <v>23</v>
      </c>
      <c r="E24" s="19">
        <f>COUNTIF(B3:U21,"*[S, L2]*")+COUNTIF(B3:U21,"*[L2, S]*")+COUNTIF(B3:U21,"*[L2, S']*")+COUNTIF(B3:U21,"*[S', L2]*")</f>
        <v>12</v>
      </c>
      <c r="F24" s="19">
        <f>COUNTIF(B3:U21,"*[E, L2]*")+COUNTIF(B3:U21,"*[L2, E]*")+COUNTIF(B3:U21,"*[L2, E']*")+COUNTIF(B3:U21,"*[E', L2]*")</f>
        <v>31</v>
      </c>
      <c r="G24" s="19">
        <f>COUNTIF(B3:U21,"*[E, R2]*")+COUNTIF(B3:U21,"*[R2, E]*")+COUNTIF(B3:U21,"*[R2, E']*")+COUNTIF(B3:U21,"*[E', R2]*")</f>
        <v>51</v>
      </c>
      <c r="H24" s="19">
        <f>COUNTIF(B3:U21,"*[M, U2]*")+COUNTIF(B3:U21,"*[U2, M]*")+COUNTIF(B3:U21,"*[U2, M']*")+COUNTIF(B3:U21,"*[M', U2]*")</f>
        <v>13</v>
      </c>
      <c r="I24" s="19">
        <f>COUNTIF(B3:U21,"*[M, D2]*")+COUNTIF(B3:U21,"*[D2, M]*")+COUNTIF(B3:U21,"*[D2, M']*")+COUNTIF(B3:U21,"*[M', D2]*")</f>
        <v>0</v>
      </c>
      <c r="J24" s="19">
        <f>COUNTIF(B3:U21,"*M u2 M u2*")+COUNTIF(B3:U21,"*u2 M' u2 M'*")+COUNTIF(B3:U21,"*M' u2 M' u2*")+COUNTIF(B3:U21,"*u2 M u2 M*")+COUNTIF(B3:U21,"*u' M u2 M u'*")+COUNTIF(C3:U21,"*u M u2 M u*")+COUNTIF(C3:U21,"*u' M' u2 M' u'*")+COUNTIF(C3:U21,"*u M' u2 M' u*")</f>
        <v>8</v>
      </c>
      <c r="K24">
        <f>SUM(D24:J24)</f>
        <v>138</v>
      </c>
      <c r="L24" s="8">
        <v>12.0</v>
      </c>
      <c r="M24" s="19">
        <f>COUNTIF(B3:U21,"*S*")</f>
        <v>96</v>
      </c>
      <c r="N24" s="19">
        <f>COUNTIF(B3:U21,"*E*")</f>
        <v>178</v>
      </c>
      <c r="O24" s="19">
        <f>COUNTIF(B3:U21,"*M*")</f>
        <v>100</v>
      </c>
      <c r="P24" s="19">
        <f>M24+N24+O24-B24</f>
        <v>14</v>
      </c>
    </row>
    <row r="25" ht="16.5" customHeight="1">
      <c r="A25" s="1"/>
      <c r="B25" s="20"/>
      <c r="D25" s="20">
        <f>D24/B24</f>
        <v>0.06388888889</v>
      </c>
      <c r="E25" s="20">
        <f>E24/B24</f>
        <v>0.03333333333</v>
      </c>
      <c r="F25" s="20">
        <f>F24/B24</f>
        <v>0.08611111111</v>
      </c>
      <c r="G25" s="21">
        <f>G24/B24</f>
        <v>0.1416666667</v>
      </c>
      <c r="H25" s="20">
        <f>H24/B24</f>
        <v>0.03611111111</v>
      </c>
      <c r="I25" s="20">
        <f>I24/B24</f>
        <v>0</v>
      </c>
      <c r="J25" s="20">
        <f>J24/B24</f>
        <v>0.02222222222</v>
      </c>
      <c r="K25" s="22">
        <f>K24/B24</f>
        <v>0.3833333333</v>
      </c>
      <c r="L25" s="20">
        <f>L24/B24</f>
        <v>0.03333333333</v>
      </c>
      <c r="M25" s="20">
        <f>M24/B24</f>
        <v>0.2666666667</v>
      </c>
      <c r="N25" s="20">
        <f>N24/B24</f>
        <v>0.4944444444</v>
      </c>
      <c r="O25" s="20">
        <f>O24/B24</f>
        <v>0.2777777778</v>
      </c>
      <c r="P25" s="20">
        <f>P24/B24</f>
        <v>0.03888888889</v>
      </c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2" width="16.71"/>
  </cols>
  <sheetData>
    <row r="1" ht="16.5" customHeight="1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22</v>
      </c>
      <c r="T1" s="2"/>
      <c r="U1" s="1"/>
      <c r="V1" s="1"/>
    </row>
    <row r="2" ht="16.5" customHeight="1">
      <c r="A2" s="23" t="s">
        <v>3</v>
      </c>
      <c r="B2" s="24"/>
      <c r="C2" s="25" t="s">
        <v>726</v>
      </c>
      <c r="D2" s="26" t="s">
        <v>727</v>
      </c>
      <c r="E2" s="26" t="s">
        <v>728</v>
      </c>
      <c r="F2" s="26" t="s">
        <v>729</v>
      </c>
      <c r="G2" s="26" t="s">
        <v>730</v>
      </c>
      <c r="H2" s="26" t="s">
        <v>731</v>
      </c>
      <c r="I2" s="26" t="s">
        <v>732</v>
      </c>
      <c r="J2" s="26" t="s">
        <v>733</v>
      </c>
      <c r="K2" s="26" t="s">
        <v>734</v>
      </c>
      <c r="L2" s="26" t="s">
        <v>735</v>
      </c>
      <c r="M2" s="26" t="s">
        <v>736</v>
      </c>
      <c r="N2" s="27"/>
      <c r="O2" s="26" t="s">
        <v>737</v>
      </c>
      <c r="P2" s="28" t="s">
        <v>738</v>
      </c>
      <c r="Q2" s="26" t="s">
        <v>739</v>
      </c>
      <c r="R2" s="26" t="s">
        <v>740</v>
      </c>
      <c r="S2" s="26" t="s">
        <v>741</v>
      </c>
      <c r="U2" s="8"/>
    </row>
    <row r="3" ht="16.5" customHeight="1">
      <c r="A3" s="23" t="s">
        <v>4</v>
      </c>
      <c r="B3" s="25" t="s">
        <v>742</v>
      </c>
      <c r="C3" s="29"/>
      <c r="D3" s="26" t="s">
        <v>743</v>
      </c>
      <c r="E3" s="26" t="s">
        <v>744</v>
      </c>
      <c r="F3" s="26" t="s">
        <v>745</v>
      </c>
      <c r="G3" s="30" t="s">
        <v>746</v>
      </c>
      <c r="H3" s="26" t="s">
        <v>747</v>
      </c>
      <c r="I3" s="26" t="s">
        <v>748</v>
      </c>
      <c r="J3" s="26" t="s">
        <v>749</v>
      </c>
      <c r="K3" s="26" t="s">
        <v>750</v>
      </c>
      <c r="L3" s="27"/>
      <c r="M3" s="26" t="s">
        <v>751</v>
      </c>
      <c r="N3" s="26" t="s">
        <v>752</v>
      </c>
      <c r="O3" s="26" t="s">
        <v>753</v>
      </c>
      <c r="P3" s="28" t="s">
        <v>754</v>
      </c>
      <c r="Q3" s="26" t="s">
        <v>755</v>
      </c>
      <c r="R3" s="26" t="s">
        <v>756</v>
      </c>
      <c r="S3" s="26" t="s">
        <v>757</v>
      </c>
      <c r="U3" s="8" t="s">
        <v>758</v>
      </c>
    </row>
    <row r="4" ht="16.5" customHeight="1">
      <c r="A4" s="23" t="s">
        <v>5</v>
      </c>
      <c r="B4" s="26" t="s">
        <v>759</v>
      </c>
      <c r="C4" s="26" t="s">
        <v>760</v>
      </c>
      <c r="D4" s="29"/>
      <c r="E4" s="26" t="s">
        <v>761</v>
      </c>
      <c r="F4" s="27"/>
      <c r="G4" s="8" t="s">
        <v>762</v>
      </c>
      <c r="H4" s="26" t="s">
        <v>763</v>
      </c>
      <c r="I4" s="26" t="s">
        <v>764</v>
      </c>
      <c r="J4" s="26" t="s">
        <v>765</v>
      </c>
      <c r="K4" s="26" t="s">
        <v>766</v>
      </c>
      <c r="L4" s="26" t="s">
        <v>767</v>
      </c>
      <c r="M4" s="28" t="s">
        <v>768</v>
      </c>
      <c r="N4" s="26" t="s">
        <v>769</v>
      </c>
      <c r="O4" s="26" t="s">
        <v>770</v>
      </c>
      <c r="P4" s="26" t="s">
        <v>771</v>
      </c>
      <c r="Q4" s="26" t="s">
        <v>772</v>
      </c>
      <c r="R4" s="26" t="s">
        <v>773</v>
      </c>
      <c r="S4" s="26" t="s">
        <v>185</v>
      </c>
    </row>
    <row r="5" ht="16.5" customHeight="1">
      <c r="A5" s="23" t="s">
        <v>6</v>
      </c>
      <c r="B5" s="26" t="s">
        <v>774</v>
      </c>
      <c r="C5" s="26" t="s">
        <v>775</v>
      </c>
      <c r="D5" s="26" t="s">
        <v>776</v>
      </c>
      <c r="E5" s="29"/>
      <c r="F5" s="26" t="s">
        <v>777</v>
      </c>
      <c r="G5" s="26" t="s">
        <v>778</v>
      </c>
      <c r="H5" s="26" t="s">
        <v>779</v>
      </c>
      <c r="I5" s="26" t="s">
        <v>780</v>
      </c>
      <c r="J5" s="26" t="s">
        <v>781</v>
      </c>
      <c r="K5" s="26" t="s">
        <v>782</v>
      </c>
      <c r="L5" s="26" t="s">
        <v>783</v>
      </c>
      <c r="M5" s="26" t="s">
        <v>784</v>
      </c>
      <c r="N5" s="26" t="s">
        <v>785</v>
      </c>
      <c r="O5" s="27"/>
      <c r="P5" s="26" t="s">
        <v>786</v>
      </c>
      <c r="Q5" s="26" t="s">
        <v>787</v>
      </c>
      <c r="R5" s="26" t="s">
        <v>788</v>
      </c>
      <c r="S5" s="26" t="s">
        <v>789</v>
      </c>
      <c r="U5" s="8" t="s">
        <v>25</v>
      </c>
    </row>
    <row r="6" ht="16.5" customHeight="1">
      <c r="A6" s="2" t="s">
        <v>7</v>
      </c>
      <c r="B6" s="26" t="s">
        <v>790</v>
      </c>
      <c r="C6" s="26" t="s">
        <v>791</v>
      </c>
      <c r="D6" s="27"/>
      <c r="E6" s="26" t="s">
        <v>792</v>
      </c>
      <c r="F6" s="29"/>
      <c r="G6" s="8" t="s">
        <v>793</v>
      </c>
      <c r="H6" s="26" t="s">
        <v>794</v>
      </c>
      <c r="I6" s="26" t="s">
        <v>795</v>
      </c>
      <c r="J6" s="26" t="s">
        <v>796</v>
      </c>
      <c r="K6" s="26" t="s">
        <v>797</v>
      </c>
      <c r="L6" s="26" t="s">
        <v>798</v>
      </c>
      <c r="M6" s="26" t="s">
        <v>799</v>
      </c>
      <c r="N6" s="26" t="s">
        <v>800</v>
      </c>
      <c r="O6" s="26" t="s">
        <v>801</v>
      </c>
      <c r="P6" s="26" t="s">
        <v>802</v>
      </c>
      <c r="Q6" s="28" t="s">
        <v>803</v>
      </c>
      <c r="R6" s="26" t="s">
        <v>804</v>
      </c>
      <c r="S6" s="26" t="s">
        <v>805</v>
      </c>
      <c r="U6" s="9">
        <v>44793.0</v>
      </c>
    </row>
    <row r="7" ht="16.5" customHeight="1">
      <c r="A7" s="2" t="s">
        <v>8</v>
      </c>
      <c r="B7" s="26" t="s">
        <v>806</v>
      </c>
      <c r="C7" s="30" t="s">
        <v>807</v>
      </c>
      <c r="D7" s="8" t="s">
        <v>808</v>
      </c>
      <c r="E7" s="26" t="s">
        <v>809</v>
      </c>
      <c r="F7" s="8" t="s">
        <v>810</v>
      </c>
      <c r="G7" s="4"/>
      <c r="H7" s="8" t="s">
        <v>811</v>
      </c>
      <c r="I7" s="8" t="s">
        <v>812</v>
      </c>
      <c r="J7" s="8" t="s">
        <v>813</v>
      </c>
      <c r="K7" s="7"/>
      <c r="L7" s="8" t="s">
        <v>814</v>
      </c>
      <c r="M7" s="8" t="s">
        <v>815</v>
      </c>
      <c r="N7" s="8" t="s">
        <v>816</v>
      </c>
      <c r="O7" s="8" t="s">
        <v>817</v>
      </c>
      <c r="P7" s="8" t="s">
        <v>818</v>
      </c>
      <c r="Q7" s="8" t="s">
        <v>819</v>
      </c>
      <c r="R7" s="8" t="s">
        <v>820</v>
      </c>
      <c r="S7" s="8" t="s">
        <v>821</v>
      </c>
    </row>
    <row r="8" ht="16.5" customHeight="1">
      <c r="A8" s="2" t="s">
        <v>9</v>
      </c>
      <c r="B8" s="26" t="s">
        <v>822</v>
      </c>
      <c r="C8" s="26" t="s">
        <v>823</v>
      </c>
      <c r="D8" s="11" t="s">
        <v>824</v>
      </c>
      <c r="E8" s="26" t="s">
        <v>825</v>
      </c>
      <c r="F8" s="26" t="s">
        <v>826</v>
      </c>
      <c r="G8" s="8" t="s">
        <v>827</v>
      </c>
      <c r="H8" s="4"/>
      <c r="I8" s="8" t="s">
        <v>828</v>
      </c>
      <c r="J8" s="8" t="s">
        <v>829</v>
      </c>
      <c r="K8" s="8" t="s">
        <v>830</v>
      </c>
      <c r="L8" s="32" t="s">
        <v>831</v>
      </c>
      <c r="M8" s="8" t="s">
        <v>832</v>
      </c>
      <c r="N8" s="8" t="s">
        <v>833</v>
      </c>
      <c r="O8" s="8" t="s">
        <v>834</v>
      </c>
      <c r="P8" s="8" t="s">
        <v>835</v>
      </c>
      <c r="Q8" s="7"/>
      <c r="R8" s="8" t="s">
        <v>836</v>
      </c>
      <c r="S8" s="8" t="s">
        <v>837</v>
      </c>
    </row>
    <row r="9" ht="16.5" customHeight="1">
      <c r="A9" s="2" t="s">
        <v>10</v>
      </c>
      <c r="B9" s="26" t="s">
        <v>838</v>
      </c>
      <c r="C9" s="26" t="s">
        <v>839</v>
      </c>
      <c r="D9" s="26" t="s">
        <v>840</v>
      </c>
      <c r="E9" s="26" t="s">
        <v>841</v>
      </c>
      <c r="F9" s="26" t="s">
        <v>842</v>
      </c>
      <c r="G9" s="8" t="s">
        <v>843</v>
      </c>
      <c r="H9" s="8" t="s">
        <v>844</v>
      </c>
      <c r="I9" s="4"/>
      <c r="J9" s="8" t="s">
        <v>845</v>
      </c>
      <c r="K9" s="8" t="s">
        <v>846</v>
      </c>
      <c r="L9" s="8" t="s">
        <v>847</v>
      </c>
      <c r="M9" s="8" t="s">
        <v>848</v>
      </c>
      <c r="N9" s="8" t="s">
        <v>849</v>
      </c>
      <c r="O9" s="8" t="s">
        <v>850</v>
      </c>
      <c r="P9" s="7"/>
      <c r="Q9" s="8" t="s">
        <v>851</v>
      </c>
      <c r="R9" s="8" t="s">
        <v>852</v>
      </c>
      <c r="S9" s="32" t="s">
        <v>853</v>
      </c>
    </row>
    <row r="10" ht="16.5" customHeight="1">
      <c r="A10" s="2" t="s">
        <v>11</v>
      </c>
      <c r="B10" s="26" t="s">
        <v>854</v>
      </c>
      <c r="C10" s="26" t="s">
        <v>855</v>
      </c>
      <c r="D10" s="26" t="s">
        <v>856</v>
      </c>
      <c r="E10" s="26" t="s">
        <v>857</v>
      </c>
      <c r="F10" s="26" t="s">
        <v>858</v>
      </c>
      <c r="G10" s="8" t="s">
        <v>859</v>
      </c>
      <c r="H10" s="8" t="s">
        <v>860</v>
      </c>
      <c r="I10" s="8" t="s">
        <v>861</v>
      </c>
      <c r="J10" s="4"/>
      <c r="K10" s="8" t="s">
        <v>862</v>
      </c>
      <c r="L10" s="8" t="s">
        <v>863</v>
      </c>
      <c r="M10" s="8" t="s">
        <v>864</v>
      </c>
      <c r="N10" s="8" t="s">
        <v>865</v>
      </c>
      <c r="O10" s="8" t="s">
        <v>866</v>
      </c>
      <c r="P10" s="8" t="s">
        <v>867</v>
      </c>
      <c r="Q10" s="8" t="s">
        <v>868</v>
      </c>
      <c r="R10" s="7"/>
      <c r="S10" s="8" t="s">
        <v>869</v>
      </c>
    </row>
    <row r="11" ht="16.5" customHeight="1">
      <c r="A11" s="2" t="s">
        <v>12</v>
      </c>
      <c r="B11" s="26" t="s">
        <v>870</v>
      </c>
      <c r="C11" s="26" t="s">
        <v>871</v>
      </c>
      <c r="D11" s="26" t="s">
        <v>872</v>
      </c>
      <c r="E11" s="26" t="s">
        <v>873</v>
      </c>
      <c r="F11" s="26" t="s">
        <v>874</v>
      </c>
      <c r="G11" s="7"/>
      <c r="H11" s="8" t="s">
        <v>875</v>
      </c>
      <c r="I11" s="8" t="s">
        <v>876</v>
      </c>
      <c r="J11" s="8" t="s">
        <v>877</v>
      </c>
      <c r="K11" s="4"/>
      <c r="L11" s="8" t="s">
        <v>878</v>
      </c>
      <c r="M11" s="8" t="s">
        <v>879</v>
      </c>
      <c r="N11" s="8" t="s">
        <v>880</v>
      </c>
      <c r="O11" s="8" t="s">
        <v>881</v>
      </c>
      <c r="P11" s="8" t="s">
        <v>882</v>
      </c>
      <c r="Q11" s="8" t="s">
        <v>883</v>
      </c>
      <c r="R11" s="8" t="s">
        <v>884</v>
      </c>
      <c r="S11" s="8" t="s">
        <v>885</v>
      </c>
    </row>
    <row r="12" ht="16.5" customHeight="1">
      <c r="A12" s="2" t="s">
        <v>13</v>
      </c>
      <c r="B12" s="26" t="s">
        <v>886</v>
      </c>
      <c r="C12" s="27"/>
      <c r="D12" s="26" t="s">
        <v>887</v>
      </c>
      <c r="E12" s="8" t="s">
        <v>888</v>
      </c>
      <c r="F12" s="26" t="s">
        <v>889</v>
      </c>
      <c r="G12" s="8" t="s">
        <v>890</v>
      </c>
      <c r="H12" s="32" t="s">
        <v>891</v>
      </c>
      <c r="I12" s="8" t="s">
        <v>892</v>
      </c>
      <c r="J12" s="8" t="s">
        <v>893</v>
      </c>
      <c r="K12" s="8" t="s">
        <v>894</v>
      </c>
      <c r="L12" s="4"/>
      <c r="M12" s="8" t="s">
        <v>895</v>
      </c>
      <c r="N12" s="8" t="s">
        <v>896</v>
      </c>
      <c r="O12" s="8" t="s">
        <v>897</v>
      </c>
      <c r="P12" s="8" t="s">
        <v>898</v>
      </c>
      <c r="Q12" s="8" t="s">
        <v>899</v>
      </c>
      <c r="R12" s="8" t="s">
        <v>900</v>
      </c>
      <c r="S12" s="8" t="s">
        <v>901</v>
      </c>
    </row>
    <row r="13" ht="16.5" customHeight="1">
      <c r="A13" s="2" t="s">
        <v>15</v>
      </c>
      <c r="B13" s="26" t="s">
        <v>902</v>
      </c>
      <c r="C13" s="26" t="s">
        <v>903</v>
      </c>
      <c r="D13" s="28" t="s">
        <v>904</v>
      </c>
      <c r="E13" s="26" t="s">
        <v>905</v>
      </c>
      <c r="F13" s="26" t="s">
        <v>906</v>
      </c>
      <c r="G13" s="8" t="s">
        <v>907</v>
      </c>
      <c r="H13" s="8" t="s">
        <v>908</v>
      </c>
      <c r="I13" s="8" t="s">
        <v>909</v>
      </c>
      <c r="J13" s="8" t="s">
        <v>910</v>
      </c>
      <c r="K13" s="8" t="s">
        <v>911</v>
      </c>
      <c r="L13" s="8" t="s">
        <v>912</v>
      </c>
      <c r="M13" s="4"/>
      <c r="N13" s="8" t="s">
        <v>913</v>
      </c>
      <c r="O13" s="8" t="s">
        <v>914</v>
      </c>
      <c r="P13" s="8" t="s">
        <v>915</v>
      </c>
      <c r="Q13" s="8" t="s">
        <v>916</v>
      </c>
      <c r="R13" s="8" t="s">
        <v>917</v>
      </c>
      <c r="S13" s="33"/>
    </row>
    <row r="14" ht="16.5" customHeight="1">
      <c r="A14" s="2" t="s">
        <v>16</v>
      </c>
      <c r="B14" s="7"/>
      <c r="C14" s="26" t="s">
        <v>918</v>
      </c>
      <c r="D14" s="26" t="s">
        <v>919</v>
      </c>
      <c r="E14" s="26" t="s">
        <v>920</v>
      </c>
      <c r="F14" s="26" t="s">
        <v>921</v>
      </c>
      <c r="G14" s="8" t="s">
        <v>922</v>
      </c>
      <c r="H14" s="8" t="s">
        <v>923</v>
      </c>
      <c r="I14" s="8" t="s">
        <v>924</v>
      </c>
      <c r="J14" s="8" t="s">
        <v>925</v>
      </c>
      <c r="K14" s="8" t="s">
        <v>926</v>
      </c>
      <c r="L14" s="8" t="s">
        <v>927</v>
      </c>
      <c r="M14" s="8" t="s">
        <v>928</v>
      </c>
      <c r="N14" s="4"/>
      <c r="O14" s="8" t="s">
        <v>929</v>
      </c>
      <c r="P14" s="8" t="s">
        <v>930</v>
      </c>
      <c r="Q14" s="8" t="s">
        <v>931</v>
      </c>
      <c r="R14" s="8" t="s">
        <v>932</v>
      </c>
      <c r="S14" s="8" t="s">
        <v>933</v>
      </c>
    </row>
    <row r="15" ht="16.5" customHeight="1">
      <c r="A15" s="2" t="s">
        <v>17</v>
      </c>
      <c r="B15" s="8" t="s">
        <v>934</v>
      </c>
      <c r="C15" s="26" t="s">
        <v>935</v>
      </c>
      <c r="D15" s="26" t="s">
        <v>936</v>
      </c>
      <c r="E15" s="27"/>
      <c r="F15" s="26" t="s">
        <v>937</v>
      </c>
      <c r="G15" s="8" t="s">
        <v>938</v>
      </c>
      <c r="H15" s="8" t="s">
        <v>939</v>
      </c>
      <c r="I15" s="8" t="s">
        <v>940</v>
      </c>
      <c r="J15" s="8" t="s">
        <v>941</v>
      </c>
      <c r="K15" s="8" t="s">
        <v>942</v>
      </c>
      <c r="L15" s="8" t="s">
        <v>943</v>
      </c>
      <c r="M15" s="8" t="s">
        <v>944</v>
      </c>
      <c r="N15" s="8" t="s">
        <v>945</v>
      </c>
      <c r="O15" s="4"/>
      <c r="P15" s="8" t="s">
        <v>946</v>
      </c>
      <c r="Q15" s="8" t="s">
        <v>947</v>
      </c>
      <c r="R15" s="8" t="s">
        <v>948</v>
      </c>
      <c r="S15" s="8" t="s">
        <v>949</v>
      </c>
    </row>
    <row r="16" ht="16.5" customHeight="1">
      <c r="A16" s="2" t="s">
        <v>18</v>
      </c>
      <c r="B16" s="28" t="s">
        <v>950</v>
      </c>
      <c r="C16" s="28" t="s">
        <v>951</v>
      </c>
      <c r="D16" s="26" t="s">
        <v>952</v>
      </c>
      <c r="E16" s="26" t="s">
        <v>953</v>
      </c>
      <c r="F16" s="26" t="s">
        <v>954</v>
      </c>
      <c r="G16" s="8" t="s">
        <v>955</v>
      </c>
      <c r="H16" s="8" t="s">
        <v>956</v>
      </c>
      <c r="I16" s="7"/>
      <c r="J16" s="8" t="s">
        <v>957</v>
      </c>
      <c r="K16" s="8" t="s">
        <v>958</v>
      </c>
      <c r="L16" s="8" t="s">
        <v>898</v>
      </c>
      <c r="M16" s="8" t="s">
        <v>959</v>
      </c>
      <c r="N16" s="8" t="s">
        <v>960</v>
      </c>
      <c r="O16" s="8" t="s">
        <v>961</v>
      </c>
      <c r="P16" s="4"/>
      <c r="Q16" s="8" t="s">
        <v>962</v>
      </c>
      <c r="R16" s="8" t="s">
        <v>963</v>
      </c>
      <c r="S16" s="8" t="s">
        <v>964</v>
      </c>
    </row>
    <row r="17" ht="16.5" customHeight="1">
      <c r="A17" s="2" t="s">
        <v>19</v>
      </c>
      <c r="B17" s="26" t="s">
        <v>739</v>
      </c>
      <c r="C17" s="26" t="s">
        <v>965</v>
      </c>
      <c r="D17" s="26" t="s">
        <v>966</v>
      </c>
      <c r="E17" s="26" t="s">
        <v>967</v>
      </c>
      <c r="F17" s="28" t="s">
        <v>968</v>
      </c>
      <c r="G17" s="8" t="s">
        <v>969</v>
      </c>
      <c r="H17" s="7"/>
      <c r="I17" s="8" t="s">
        <v>970</v>
      </c>
      <c r="J17" s="8" t="s">
        <v>971</v>
      </c>
      <c r="K17" s="8" t="s">
        <v>972</v>
      </c>
      <c r="L17" s="8" t="s">
        <v>973</v>
      </c>
      <c r="M17" s="8" t="s">
        <v>974</v>
      </c>
      <c r="N17" s="8" t="s">
        <v>975</v>
      </c>
      <c r="O17" s="8" t="s">
        <v>976</v>
      </c>
      <c r="P17" s="8" t="s">
        <v>977</v>
      </c>
      <c r="Q17" s="4"/>
      <c r="R17" s="8" t="s">
        <v>978</v>
      </c>
      <c r="S17" s="8" t="s">
        <v>979</v>
      </c>
    </row>
    <row r="18" ht="16.5" customHeight="1">
      <c r="A18" s="2" t="s">
        <v>20</v>
      </c>
      <c r="B18" s="26" t="s">
        <v>980</v>
      </c>
      <c r="C18" s="26" t="s">
        <v>981</v>
      </c>
      <c r="D18" s="26" t="s">
        <v>982</v>
      </c>
      <c r="E18" s="26" t="s">
        <v>983</v>
      </c>
      <c r="F18" s="26" t="s">
        <v>984</v>
      </c>
      <c r="G18" s="8" t="s">
        <v>985</v>
      </c>
      <c r="H18" s="8" t="s">
        <v>986</v>
      </c>
      <c r="I18" s="8" t="s">
        <v>987</v>
      </c>
      <c r="J18" s="7"/>
      <c r="K18" s="8" t="s">
        <v>988</v>
      </c>
      <c r="L18" s="8" t="s">
        <v>989</v>
      </c>
      <c r="M18" s="8" t="s">
        <v>990</v>
      </c>
      <c r="N18" s="8" t="s">
        <v>991</v>
      </c>
      <c r="O18" s="8" t="s">
        <v>992</v>
      </c>
      <c r="P18" s="8" t="s">
        <v>993</v>
      </c>
      <c r="Q18" s="8" t="s">
        <v>994</v>
      </c>
      <c r="R18" s="4"/>
      <c r="S18" s="8" t="s">
        <v>995</v>
      </c>
    </row>
    <row r="19" ht="16.5" customHeight="1">
      <c r="A19" s="2" t="s">
        <v>22</v>
      </c>
      <c r="B19" s="26" t="s">
        <v>996</v>
      </c>
      <c r="C19" s="26" t="s">
        <v>997</v>
      </c>
      <c r="D19" s="26" t="s">
        <v>206</v>
      </c>
      <c r="E19" s="26" t="s">
        <v>998</v>
      </c>
      <c r="F19" s="26" t="s">
        <v>999</v>
      </c>
      <c r="G19" s="8" t="s">
        <v>1000</v>
      </c>
      <c r="H19" s="8" t="s">
        <v>1001</v>
      </c>
      <c r="I19" s="32" t="s">
        <v>1002</v>
      </c>
      <c r="J19" s="8" t="s">
        <v>1003</v>
      </c>
      <c r="K19" s="8" t="s">
        <v>1004</v>
      </c>
      <c r="L19" s="8" t="s">
        <v>1005</v>
      </c>
      <c r="M19" s="7"/>
      <c r="N19" s="8" t="s">
        <v>1006</v>
      </c>
      <c r="O19" s="8" t="s">
        <v>1007</v>
      </c>
      <c r="P19" s="8" t="s">
        <v>1008</v>
      </c>
      <c r="Q19" s="8" t="s">
        <v>1009</v>
      </c>
      <c r="R19" s="8" t="s">
        <v>1010</v>
      </c>
      <c r="S19" s="4"/>
    </row>
    <row r="20" ht="16.5" customHeight="1">
      <c r="A20" s="2"/>
      <c r="F20" s="8"/>
      <c r="I20" s="8"/>
      <c r="L20" s="8"/>
      <c r="M20" s="13"/>
      <c r="O20" s="8"/>
      <c r="T20" s="15"/>
    </row>
    <row r="21" ht="16.5" customHeight="1">
      <c r="A21" s="1"/>
      <c r="B21" s="17" t="s">
        <v>1011</v>
      </c>
      <c r="D21" s="17" t="s">
        <v>352</v>
      </c>
      <c r="E21" s="17" t="s">
        <v>353</v>
      </c>
      <c r="F21" s="17" t="s">
        <v>354</v>
      </c>
      <c r="G21" s="17" t="s">
        <v>355</v>
      </c>
      <c r="H21" s="17" t="s">
        <v>356</v>
      </c>
      <c r="I21" s="17" t="s">
        <v>357</v>
      </c>
      <c r="J21" s="17" t="s">
        <v>358</v>
      </c>
      <c r="K21" s="8" t="s">
        <v>359</v>
      </c>
      <c r="L21" s="8" t="s">
        <v>360</v>
      </c>
      <c r="M21" s="18" t="s">
        <v>361</v>
      </c>
      <c r="N21" s="18" t="s">
        <v>362</v>
      </c>
      <c r="O21" s="18" t="s">
        <v>363</v>
      </c>
      <c r="P21" s="18" t="s">
        <v>364</v>
      </c>
    </row>
    <row r="22" ht="16.5" customHeight="1">
      <c r="A22" s="1"/>
      <c r="B22" s="19">
        <f>counta(B2:S19)</f>
        <v>288</v>
      </c>
      <c r="D22" s="19">
        <f>COUNTIF(B2:S19,"*[S, R2]*")+COUNTIF(B2:S19,"*[R2, S]*")+COUNTIF(B2:S19,"*[R2, S']*")+COUNTIF(B2:S19,"*[S', R2]*")</f>
        <v>16</v>
      </c>
      <c r="E22" s="19">
        <f>COUNTIF(B2:S19,"*[S, L2]*")+COUNTIF(B2:S19,"*[L2, S]*")+COUNTIF(B2:S19,"*[L2, S']*")+COUNTIF(B2:S19,"*[S', L2]*")</f>
        <v>18</v>
      </c>
      <c r="F22" s="19">
        <f>COUNTIF(B2:S19,"*[E, L2]*")+COUNTIF(B2:S19,"*[L2, E]*")+COUNTIF(B2:S19,"*[L2, E']*")+COUNTIF(B2:S19,"*[E', L2]*")</f>
        <v>20</v>
      </c>
      <c r="G22" s="19">
        <f>COUNTIF(B2:S19,"*[E, R2]*")+COUNTIF(B2:S19,"*[R2, E]*")+COUNTIF(B2:S19,"*[R2, E']*")+COUNTIF(B2:S19,"*[E', R2]*")</f>
        <v>42</v>
      </c>
      <c r="H22" s="19">
        <f>COUNTIF(B2:S19,"*[M, U2]*")+COUNTIF(B2:S19,"*[U2, M]*")+COUNTIF(B2:S19,"*[U2, M']*")+COUNTIF(B2:S19,"*[M', U2]*")</f>
        <v>18</v>
      </c>
      <c r="I22" s="19">
        <f>COUNTIF(B2:S19,"*[M, D2]*")+COUNTIF(B2:S19,"*[D2, M]*")+COUNTIF(B2:S19,"*[D2, M']*")+COUNTIF(B2:S19,"*[M', D2]*")</f>
        <v>0</v>
      </c>
      <c r="J22" s="19">
        <f>COUNTIF(B2:S19,"*M u2 M u2*")+COUNTIF(B2:S19,"*u2 M' u2 M'*")+COUNTIF(B2:S19,"*M' u2 M' u2*")+COUNTIF(B2:S19,"*u2 M u2 M*")+COUNTIF(B2:S19,"*u' M u2 M u'*")+COUNTIF(B2:S19,"*u M u2 M u*")+COUNTIF(B2:S19,"*u' M' u2 M' u'*")+COUNTIF(B2:S19,"*u M' u2 M' u*")</f>
        <v>3</v>
      </c>
      <c r="K22">
        <f>SUM(D22:J22)</f>
        <v>117</v>
      </c>
      <c r="L22" s="8">
        <v>0.0</v>
      </c>
      <c r="M22" s="19">
        <f>COUNTIF(B2:S19,"*S*")</f>
        <v>101</v>
      </c>
      <c r="N22" s="19">
        <f>COUNTIF(B2:S19,"*E*")</f>
        <v>150</v>
      </c>
      <c r="O22" s="19">
        <f>COUNTIF(B2:S19,"*M*")</f>
        <v>57</v>
      </c>
      <c r="P22" s="19">
        <f>M22+N22+O22-B22</f>
        <v>20</v>
      </c>
    </row>
    <row r="23" ht="16.5" customHeight="1">
      <c r="A23" s="1"/>
      <c r="B23" s="20"/>
      <c r="D23" s="20">
        <f>D22/B22</f>
        <v>0.05555555556</v>
      </c>
      <c r="E23" s="20">
        <f>E22/B22</f>
        <v>0.0625</v>
      </c>
      <c r="F23" s="20">
        <f>F22/B22</f>
        <v>0.06944444444</v>
      </c>
      <c r="G23" s="21">
        <f>G22/B22</f>
        <v>0.1458333333</v>
      </c>
      <c r="H23" s="20">
        <f>H22/B22</f>
        <v>0.0625</v>
      </c>
      <c r="I23" s="20">
        <f>I22/B22</f>
        <v>0</v>
      </c>
      <c r="J23" s="20">
        <f>J22/B22</f>
        <v>0.01041666667</v>
      </c>
      <c r="K23" s="22">
        <f>K22/B22</f>
        <v>0.40625</v>
      </c>
      <c r="L23" s="20">
        <f>L22/B22</f>
        <v>0</v>
      </c>
      <c r="M23" s="20">
        <f>M22/B22</f>
        <v>0.3506944444</v>
      </c>
      <c r="N23" s="20">
        <f>N22/B22</f>
        <v>0.5208333333</v>
      </c>
      <c r="O23" s="20">
        <f>O22/B22</f>
        <v>0.1979166667</v>
      </c>
      <c r="P23" s="20">
        <f>P22/B22</f>
        <v>0.06944444444</v>
      </c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0" width="16.71"/>
  </cols>
  <sheetData>
    <row r="1" ht="16.5" customHeight="1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15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22</v>
      </c>
      <c r="R1" s="2"/>
      <c r="S1" s="1"/>
      <c r="T1" s="1"/>
    </row>
    <row r="2" ht="16.5" customHeight="1">
      <c r="A2" s="23" t="s">
        <v>4</v>
      </c>
      <c r="B2" s="29"/>
      <c r="C2" s="26" t="s">
        <v>1012</v>
      </c>
      <c r="D2" s="26" t="s">
        <v>1013</v>
      </c>
      <c r="E2" s="26" t="s">
        <v>1014</v>
      </c>
      <c r="F2" s="30" t="s">
        <v>1015</v>
      </c>
      <c r="G2" s="26" t="s">
        <v>1016</v>
      </c>
      <c r="H2" s="26" t="s">
        <v>1017</v>
      </c>
      <c r="I2" s="26" t="s">
        <v>1018</v>
      </c>
      <c r="J2" s="26" t="s">
        <v>1019</v>
      </c>
      <c r="K2" s="27"/>
      <c r="L2" s="26" t="s">
        <v>1020</v>
      </c>
      <c r="M2" s="26" t="s">
        <v>1021</v>
      </c>
      <c r="N2" s="28" t="s">
        <v>1022</v>
      </c>
      <c r="O2" s="26" t="s">
        <v>1023</v>
      </c>
      <c r="P2" s="26" t="s">
        <v>1024</v>
      </c>
      <c r="Q2" s="26" t="s">
        <v>1025</v>
      </c>
    </row>
    <row r="3" ht="16.5" customHeight="1">
      <c r="A3" s="23" t="s">
        <v>5</v>
      </c>
      <c r="B3" s="26" t="s">
        <v>1026</v>
      </c>
      <c r="C3" s="29"/>
      <c r="D3" s="26" t="s">
        <v>1027</v>
      </c>
      <c r="E3" s="27"/>
      <c r="F3" s="8" t="s">
        <v>1028</v>
      </c>
      <c r="G3" s="26" t="s">
        <v>1029</v>
      </c>
      <c r="H3" s="26" t="s">
        <v>1030</v>
      </c>
      <c r="I3" s="26" t="s">
        <v>1031</v>
      </c>
      <c r="J3" s="26" t="s">
        <v>1032</v>
      </c>
      <c r="K3" s="26" t="s">
        <v>1033</v>
      </c>
      <c r="L3" s="28" t="s">
        <v>1034</v>
      </c>
      <c r="M3" s="26" t="s">
        <v>1035</v>
      </c>
      <c r="N3" s="26" t="s">
        <v>1036</v>
      </c>
      <c r="O3" s="26" t="s">
        <v>1037</v>
      </c>
      <c r="P3" s="26" t="s">
        <v>1038</v>
      </c>
      <c r="Q3" s="26" t="s">
        <v>1039</v>
      </c>
      <c r="S3" s="8" t="s">
        <v>1040</v>
      </c>
    </row>
    <row r="4" ht="16.5" customHeight="1">
      <c r="A4" s="23" t="s">
        <v>6</v>
      </c>
      <c r="B4" s="26" t="s">
        <v>1041</v>
      </c>
      <c r="C4" s="26" t="s">
        <v>1042</v>
      </c>
      <c r="D4" s="29"/>
      <c r="E4" s="26" t="s">
        <v>1043</v>
      </c>
      <c r="F4" s="26" t="s">
        <v>1044</v>
      </c>
      <c r="G4" s="26" t="s">
        <v>1045</v>
      </c>
      <c r="H4" s="26" t="s">
        <v>1046</v>
      </c>
      <c r="I4" s="26" t="s">
        <v>1047</v>
      </c>
      <c r="J4" s="26" t="s">
        <v>1048</v>
      </c>
      <c r="K4" s="26" t="s">
        <v>1049</v>
      </c>
      <c r="L4" s="26" t="s">
        <v>1050</v>
      </c>
      <c r="M4" s="27"/>
      <c r="N4" s="26" t="s">
        <v>1051</v>
      </c>
      <c r="O4" s="26" t="s">
        <v>1052</v>
      </c>
      <c r="P4" s="26" t="s">
        <v>1053</v>
      </c>
      <c r="Q4" s="26" t="s">
        <v>1054</v>
      </c>
    </row>
    <row r="5" ht="16.5" customHeight="1">
      <c r="A5" s="2" t="s">
        <v>7</v>
      </c>
      <c r="B5" s="26" t="s">
        <v>1055</v>
      </c>
      <c r="C5" s="27"/>
      <c r="D5" s="26" t="s">
        <v>1056</v>
      </c>
      <c r="E5" s="29"/>
      <c r="F5" s="8" t="s">
        <v>1057</v>
      </c>
      <c r="G5" s="26" t="s">
        <v>1058</v>
      </c>
      <c r="H5" s="26" t="s">
        <v>1059</v>
      </c>
      <c r="I5" s="26" t="s">
        <v>1060</v>
      </c>
      <c r="J5" s="26" t="s">
        <v>1061</v>
      </c>
      <c r="K5" s="26" t="s">
        <v>1062</v>
      </c>
      <c r="L5" s="26" t="s">
        <v>1063</v>
      </c>
      <c r="M5" s="26" t="s">
        <v>1064</v>
      </c>
      <c r="N5" s="26" t="s">
        <v>1065</v>
      </c>
      <c r="O5" s="28" t="s">
        <v>1066</v>
      </c>
      <c r="P5" s="26" t="s">
        <v>1067</v>
      </c>
      <c r="Q5" s="26" t="s">
        <v>1068</v>
      </c>
      <c r="S5" s="8" t="s">
        <v>25</v>
      </c>
    </row>
    <row r="6" ht="16.5" customHeight="1">
      <c r="A6" s="2" t="s">
        <v>8</v>
      </c>
      <c r="B6" s="30" t="s">
        <v>1069</v>
      </c>
      <c r="C6" s="8" t="s">
        <v>1070</v>
      </c>
      <c r="D6" s="26" t="s">
        <v>1071</v>
      </c>
      <c r="E6" s="8" t="s">
        <v>1072</v>
      </c>
      <c r="F6" s="4"/>
      <c r="G6" s="8" t="s">
        <v>1073</v>
      </c>
      <c r="H6" s="8" t="s">
        <v>1074</v>
      </c>
      <c r="I6" s="8" t="s">
        <v>1075</v>
      </c>
      <c r="J6" s="7"/>
      <c r="K6" s="8" t="s">
        <v>1076</v>
      </c>
      <c r="L6" s="8" t="s">
        <v>1077</v>
      </c>
      <c r="M6" s="8" t="s">
        <v>1078</v>
      </c>
      <c r="N6" s="8" t="s">
        <v>1079</v>
      </c>
      <c r="O6" s="8" t="s">
        <v>1080</v>
      </c>
      <c r="P6" s="8" t="s">
        <v>1081</v>
      </c>
      <c r="Q6" s="8" t="s">
        <v>1082</v>
      </c>
      <c r="S6" s="9">
        <v>44794.0</v>
      </c>
    </row>
    <row r="7" ht="16.5" customHeight="1">
      <c r="A7" s="2" t="s">
        <v>9</v>
      </c>
      <c r="B7" s="26" t="s">
        <v>1083</v>
      </c>
      <c r="C7" s="26" t="s">
        <v>1084</v>
      </c>
      <c r="D7" s="26" t="s">
        <v>1085</v>
      </c>
      <c r="E7" s="26" t="s">
        <v>1086</v>
      </c>
      <c r="F7" s="8" t="s">
        <v>1087</v>
      </c>
      <c r="G7" s="4"/>
      <c r="H7" s="8" t="s">
        <v>1088</v>
      </c>
      <c r="I7" s="8" t="s">
        <v>1089</v>
      </c>
      <c r="J7" s="8" t="s">
        <v>1090</v>
      </c>
      <c r="K7" s="32" t="s">
        <v>1091</v>
      </c>
      <c r="L7" s="8" t="s">
        <v>1092</v>
      </c>
      <c r="M7" s="8" t="s">
        <v>1093</v>
      </c>
      <c r="N7" s="8" t="s">
        <v>1094</v>
      </c>
      <c r="O7" s="7"/>
      <c r="P7" s="8" t="s">
        <v>1095</v>
      </c>
      <c r="Q7" s="8" t="s">
        <v>1096</v>
      </c>
    </row>
    <row r="8" ht="16.5" customHeight="1">
      <c r="A8" s="2" t="s">
        <v>10</v>
      </c>
      <c r="B8" s="26" t="s">
        <v>1097</v>
      </c>
      <c r="C8" s="26" t="s">
        <v>1098</v>
      </c>
      <c r="D8" s="26" t="s">
        <v>1099</v>
      </c>
      <c r="E8" s="26" t="s">
        <v>1100</v>
      </c>
      <c r="F8" s="8" t="s">
        <v>1101</v>
      </c>
      <c r="G8" s="8" t="s">
        <v>1102</v>
      </c>
      <c r="H8" s="4"/>
      <c r="I8" s="8" t="s">
        <v>1103</v>
      </c>
      <c r="J8" s="8" t="s">
        <v>1104</v>
      </c>
      <c r="K8" s="8" t="s">
        <v>1105</v>
      </c>
      <c r="L8" s="8" t="s">
        <v>1106</v>
      </c>
      <c r="M8" s="8" t="s">
        <v>1107</v>
      </c>
      <c r="N8" s="7"/>
      <c r="O8" s="8" t="s">
        <v>1108</v>
      </c>
      <c r="P8" s="8" t="s">
        <v>1109</v>
      </c>
      <c r="Q8" s="32" t="s">
        <v>1110</v>
      </c>
    </row>
    <row r="9" ht="16.5" customHeight="1">
      <c r="A9" s="2" t="s">
        <v>11</v>
      </c>
      <c r="B9" s="26" t="s">
        <v>1111</v>
      </c>
      <c r="C9" s="26" t="s">
        <v>1112</v>
      </c>
      <c r="D9" s="26" t="s">
        <v>1113</v>
      </c>
      <c r="E9" s="26" t="s">
        <v>1114</v>
      </c>
      <c r="F9" s="8" t="s">
        <v>1115</v>
      </c>
      <c r="G9" s="8" t="s">
        <v>1116</v>
      </c>
      <c r="H9" s="8" t="s">
        <v>1117</v>
      </c>
      <c r="I9" s="4"/>
      <c r="J9" s="8" t="s">
        <v>1118</v>
      </c>
      <c r="K9" s="8" t="s">
        <v>1119</v>
      </c>
      <c r="L9" s="8" t="s">
        <v>1120</v>
      </c>
      <c r="M9" s="8" t="s">
        <v>1121</v>
      </c>
      <c r="N9" s="8" t="s">
        <v>1122</v>
      </c>
      <c r="O9" s="8" t="s">
        <v>1123</v>
      </c>
      <c r="P9" s="7"/>
      <c r="Q9" s="8" t="s">
        <v>1124</v>
      </c>
    </row>
    <row r="10" ht="16.5" customHeight="1">
      <c r="A10" s="2" t="s">
        <v>12</v>
      </c>
      <c r="B10" s="26" t="s">
        <v>1125</v>
      </c>
      <c r="C10" s="26" t="s">
        <v>1126</v>
      </c>
      <c r="D10" s="26" t="s">
        <v>1127</v>
      </c>
      <c r="E10" s="26" t="s">
        <v>1128</v>
      </c>
      <c r="F10" s="7"/>
      <c r="G10" s="8" t="s">
        <v>1129</v>
      </c>
      <c r="H10" s="8" t="s">
        <v>1130</v>
      </c>
      <c r="I10" s="8" t="s">
        <v>1131</v>
      </c>
      <c r="J10" s="4"/>
      <c r="K10" s="8" t="s">
        <v>1132</v>
      </c>
      <c r="L10" s="8" t="s">
        <v>1133</v>
      </c>
      <c r="M10" s="8" t="s">
        <v>1134</v>
      </c>
      <c r="N10" s="8" t="s">
        <v>1135</v>
      </c>
      <c r="O10" s="8" t="s">
        <v>1136</v>
      </c>
      <c r="P10" s="8" t="s">
        <v>1137</v>
      </c>
      <c r="Q10" s="8" t="s">
        <v>946</v>
      </c>
    </row>
    <row r="11" ht="16.5" customHeight="1">
      <c r="A11" s="2" t="s">
        <v>13</v>
      </c>
      <c r="B11" s="27"/>
      <c r="C11" s="28" t="s">
        <v>1138</v>
      </c>
      <c r="D11" s="26" t="s">
        <v>1139</v>
      </c>
      <c r="E11" s="26" t="s">
        <v>1140</v>
      </c>
      <c r="F11" s="8" t="s">
        <v>1141</v>
      </c>
      <c r="G11" s="32" t="s">
        <v>1142</v>
      </c>
      <c r="H11" s="8" t="s">
        <v>1143</v>
      </c>
      <c r="I11" s="8" t="s">
        <v>1144</v>
      </c>
      <c r="J11" s="8" t="s">
        <v>1145</v>
      </c>
      <c r="K11" s="4"/>
      <c r="L11" s="8" t="s">
        <v>1146</v>
      </c>
      <c r="M11" s="8" t="s">
        <v>1147</v>
      </c>
      <c r="N11" s="8" t="s">
        <v>1148</v>
      </c>
      <c r="O11" s="8" t="s">
        <v>1149</v>
      </c>
      <c r="P11" s="8" t="s">
        <v>1150</v>
      </c>
      <c r="Q11" s="8" t="s">
        <v>1151</v>
      </c>
    </row>
    <row r="12" ht="16.5" customHeight="1">
      <c r="A12" s="2" t="s">
        <v>15</v>
      </c>
      <c r="B12" s="26" t="s">
        <v>1152</v>
      </c>
      <c r="C12" s="26" t="s">
        <v>1153</v>
      </c>
      <c r="D12" s="26" t="s">
        <v>1154</v>
      </c>
      <c r="E12" s="26" t="s">
        <v>1155</v>
      </c>
      <c r="F12" s="8" t="s">
        <v>1156</v>
      </c>
      <c r="G12" s="8" t="s">
        <v>1157</v>
      </c>
      <c r="H12" s="8" t="s">
        <v>1158</v>
      </c>
      <c r="I12" s="8" t="s">
        <v>1159</v>
      </c>
      <c r="J12" s="8" t="s">
        <v>1160</v>
      </c>
      <c r="K12" s="8" t="s">
        <v>1161</v>
      </c>
      <c r="L12" s="4"/>
      <c r="M12" s="8" t="s">
        <v>1162</v>
      </c>
      <c r="N12" s="8" t="s">
        <v>1163</v>
      </c>
      <c r="O12" s="8" t="s">
        <v>1164</v>
      </c>
      <c r="P12" s="8" t="s">
        <v>1165</v>
      </c>
      <c r="Q12" s="33"/>
    </row>
    <row r="13" ht="16.5" customHeight="1">
      <c r="A13" s="2" t="s">
        <v>17</v>
      </c>
      <c r="B13" s="26" t="s">
        <v>1166</v>
      </c>
      <c r="C13" s="26" t="s">
        <v>1167</v>
      </c>
      <c r="D13" s="27"/>
      <c r="E13" s="26" t="s">
        <v>1168</v>
      </c>
      <c r="F13" s="8" t="s">
        <v>1169</v>
      </c>
      <c r="G13" s="8" t="s">
        <v>1170</v>
      </c>
      <c r="H13" s="8" t="s">
        <v>1171</v>
      </c>
      <c r="I13" s="8" t="s">
        <v>1172</v>
      </c>
      <c r="J13" s="8" t="s">
        <v>1173</v>
      </c>
      <c r="K13" s="8" t="s">
        <v>1174</v>
      </c>
      <c r="L13" s="8" t="s">
        <v>1175</v>
      </c>
      <c r="M13" s="4"/>
      <c r="N13" s="8" t="s">
        <v>1176</v>
      </c>
      <c r="O13" s="8" t="s">
        <v>1177</v>
      </c>
      <c r="P13" s="8" t="s">
        <v>1178</v>
      </c>
      <c r="Q13" s="8" t="s">
        <v>1179</v>
      </c>
    </row>
    <row r="14" ht="16.5" customHeight="1">
      <c r="A14" s="2" t="s">
        <v>18</v>
      </c>
      <c r="B14" s="28" t="s">
        <v>1180</v>
      </c>
      <c r="C14" s="26" t="s">
        <v>1181</v>
      </c>
      <c r="D14" s="26" t="s">
        <v>1182</v>
      </c>
      <c r="E14" s="26" t="s">
        <v>1183</v>
      </c>
      <c r="F14" s="8" t="s">
        <v>1184</v>
      </c>
      <c r="G14" s="8" t="s">
        <v>1185</v>
      </c>
      <c r="H14" s="7"/>
      <c r="I14" s="8" t="s">
        <v>1186</v>
      </c>
      <c r="J14" s="8" t="s">
        <v>1187</v>
      </c>
      <c r="K14" s="8" t="s">
        <v>1188</v>
      </c>
      <c r="L14" s="8" t="s">
        <v>1189</v>
      </c>
      <c r="M14" s="8" t="s">
        <v>1190</v>
      </c>
      <c r="N14" s="4"/>
      <c r="O14" s="8" t="s">
        <v>1191</v>
      </c>
      <c r="P14" s="8" t="s">
        <v>1192</v>
      </c>
      <c r="Q14" s="8" t="s">
        <v>1193</v>
      </c>
    </row>
    <row r="15" ht="16.5" customHeight="1">
      <c r="A15" s="2" t="s">
        <v>19</v>
      </c>
      <c r="B15" s="26" t="s">
        <v>1194</v>
      </c>
      <c r="C15" s="26" t="s">
        <v>1195</v>
      </c>
      <c r="D15" s="26" t="s">
        <v>1196</v>
      </c>
      <c r="E15" s="28" t="s">
        <v>1197</v>
      </c>
      <c r="F15" s="8" t="s">
        <v>1198</v>
      </c>
      <c r="G15" s="7"/>
      <c r="H15" s="8" t="s">
        <v>1199</v>
      </c>
      <c r="I15" s="8" t="s">
        <v>1200</v>
      </c>
      <c r="J15" s="8" t="s">
        <v>1201</v>
      </c>
      <c r="K15" s="8" t="s">
        <v>1202</v>
      </c>
      <c r="L15" s="8" t="s">
        <v>1203</v>
      </c>
      <c r="M15" s="8" t="s">
        <v>1204</v>
      </c>
      <c r="N15" s="8" t="s">
        <v>1205</v>
      </c>
      <c r="O15" s="4"/>
      <c r="P15" s="8" t="s">
        <v>1206</v>
      </c>
      <c r="Q15" s="8" t="s">
        <v>1207</v>
      </c>
    </row>
    <row r="16" ht="16.5" customHeight="1">
      <c r="A16" s="2" t="s">
        <v>20</v>
      </c>
      <c r="B16" s="26" t="s">
        <v>1208</v>
      </c>
      <c r="C16" s="26" t="s">
        <v>1209</v>
      </c>
      <c r="D16" s="26" t="s">
        <v>1210</v>
      </c>
      <c r="E16" s="26" t="s">
        <v>1211</v>
      </c>
      <c r="F16" s="8" t="s">
        <v>1212</v>
      </c>
      <c r="G16" s="8" t="s">
        <v>1213</v>
      </c>
      <c r="H16" s="8" t="s">
        <v>1214</v>
      </c>
      <c r="I16" s="7"/>
      <c r="J16" s="8" t="s">
        <v>1215</v>
      </c>
      <c r="K16" s="8" t="s">
        <v>1216</v>
      </c>
      <c r="L16" s="8" t="s">
        <v>1217</v>
      </c>
      <c r="M16" s="8" t="s">
        <v>1218</v>
      </c>
      <c r="N16" s="8" t="s">
        <v>1219</v>
      </c>
      <c r="O16" s="8" t="s">
        <v>1220</v>
      </c>
      <c r="P16" s="4"/>
      <c r="Q16" s="8" t="s">
        <v>1221</v>
      </c>
    </row>
    <row r="17" ht="16.5" customHeight="1">
      <c r="A17" s="2" t="s">
        <v>22</v>
      </c>
      <c r="B17" s="26" t="s">
        <v>1222</v>
      </c>
      <c r="C17" s="26" t="s">
        <v>1223</v>
      </c>
      <c r="D17" s="26" t="s">
        <v>1224</v>
      </c>
      <c r="E17" s="26" t="s">
        <v>1225</v>
      </c>
      <c r="F17" s="8" t="s">
        <v>1226</v>
      </c>
      <c r="G17" s="8" t="s">
        <v>1227</v>
      </c>
      <c r="H17" s="32" t="s">
        <v>1228</v>
      </c>
      <c r="I17" s="8" t="s">
        <v>1229</v>
      </c>
      <c r="J17" s="8" t="s">
        <v>961</v>
      </c>
      <c r="K17" s="8" t="s">
        <v>1230</v>
      </c>
      <c r="L17" s="7"/>
      <c r="M17" s="8" t="s">
        <v>1231</v>
      </c>
      <c r="N17" s="8" t="s">
        <v>1232</v>
      </c>
      <c r="O17" s="8" t="s">
        <v>1233</v>
      </c>
      <c r="P17" s="8" t="s">
        <v>1234</v>
      </c>
      <c r="Q17" s="4"/>
    </row>
    <row r="18" ht="16.5" customHeight="1">
      <c r="A18" s="2"/>
      <c r="E18" s="8"/>
      <c r="H18" s="8"/>
      <c r="K18" s="8"/>
      <c r="L18" s="13"/>
      <c r="M18" s="8"/>
      <c r="R18" s="15"/>
    </row>
    <row r="19" ht="16.5" customHeight="1">
      <c r="A19" s="1"/>
      <c r="B19" s="8" t="s">
        <v>1235</v>
      </c>
      <c r="D19" s="17" t="s">
        <v>352</v>
      </c>
      <c r="E19" s="17" t="s">
        <v>353</v>
      </c>
      <c r="F19" s="17" t="s">
        <v>354</v>
      </c>
      <c r="G19" s="17" t="s">
        <v>355</v>
      </c>
      <c r="H19" s="17" t="s">
        <v>356</v>
      </c>
      <c r="I19" s="17" t="s">
        <v>357</v>
      </c>
      <c r="J19" s="17" t="s">
        <v>358</v>
      </c>
      <c r="K19" s="8" t="s">
        <v>359</v>
      </c>
      <c r="L19" s="8" t="s">
        <v>360</v>
      </c>
      <c r="M19" s="8" t="s">
        <v>362</v>
      </c>
      <c r="N19" s="18" t="s">
        <v>361</v>
      </c>
      <c r="O19" s="18" t="s">
        <v>363</v>
      </c>
      <c r="P19" s="18" t="s">
        <v>364</v>
      </c>
    </row>
    <row r="20" ht="16.5" customHeight="1">
      <c r="A20" s="1"/>
      <c r="B20">
        <f>COUNTA(B2:Q17)</f>
        <v>224</v>
      </c>
      <c r="D20" s="19">
        <f>COUNTIF(B2:Q17,"*[S, R2]*")+COUNTIF(B2:Q17,"*[R2, S]*")+COUNTIF(B2:Q17,"*[R2, S']*")+COUNTIF(B2:Q17,"*[S', R2]*")</f>
        <v>18</v>
      </c>
      <c r="E20" s="19">
        <f>COUNTIF(B2:Q17,"*[S, L2]*")+COUNTIF(B2:Q17,"*[L2, S]*")+COUNTIF(B2:Q17,"*[L2, S']*")+COUNTIF(B2:Q17,"*[S', L2]*")</f>
        <v>10</v>
      </c>
      <c r="F20" s="19">
        <f>COUNTIF(B2:Q17,"*[E, L2]*")+COUNTIF(B2:Q17,"*[L2, E]*")+COUNTIF(B2:Q17,"*[L2, E']*")+COUNTIF(B2:Q17,"*[E', L2]*")</f>
        <v>26</v>
      </c>
      <c r="G20" s="19">
        <f>COUNTIF(B2:Q17,"*[E, R2]*")+COUNTIF(B2:Q17,"*[R2, E]*")+COUNTIF(B2:Q17,"*[R2, E']*")+COUNTIF(B2:Q17,"*[E', R2]*")</f>
        <v>32</v>
      </c>
      <c r="H20" s="19">
        <f>COUNTIF(B2:Q17,"*[M, U2]*")+COUNTIF(B2:Q17,"*[U2, M]*")+COUNTIF(B2:Q17,"*[U2, M']*")+COUNTIF(B2:Q17,"*[M', U2]*")</f>
        <v>16</v>
      </c>
      <c r="I20" s="19">
        <f>COUNTIF(B2:Q17,"*[M, D2]*")+COUNTIF(B2:Q17,"*[D2, M]*")+COUNTIF(B2:Q17,"*[D2, M']*")+COUNTIF(B2:Q17,"*[M', D2]*")</f>
        <v>0</v>
      </c>
      <c r="J20" s="19">
        <f>COUNTIF(B2:Q17,"*M u2 M u2*")+COUNTIF(B2:Q17,"*u2 M' u2 M'*")+COUNTIF(B2:Q17,"*M' u2 M' u2*")+COUNTIF(B2:Q17,"*u2 M u2 M*")+COUNTIF(B2:Q17,"*u' M u2 M u'*")+COUNTIF(B2:Q17,"*u M u2 M u*")+COUNTIF(B2:Q17,"*u' M' u2 M' u'*")+COUNTIF(B2:Q17,"*u M' u2 M' u*")</f>
        <v>3</v>
      </c>
      <c r="K20">
        <f>SUM(D20:J20)</f>
        <v>105</v>
      </c>
      <c r="L20" s="8">
        <v>0.0</v>
      </c>
      <c r="M20">
        <f>COUNTIF(B2:Q17,"*E*")</f>
        <v>128</v>
      </c>
      <c r="N20" s="19">
        <f>COUNTIF(B2:Q17,"*S*")</f>
        <v>69</v>
      </c>
      <c r="O20" s="19">
        <f>COUNTIF(B2:Q17,"*M*")</f>
        <v>48</v>
      </c>
      <c r="P20" s="19">
        <f>N20+O20+M20-B20</f>
        <v>21</v>
      </c>
    </row>
    <row r="21" ht="16.5" customHeight="1">
      <c r="A21" s="1"/>
      <c r="D21" s="20">
        <f>D20/B20</f>
        <v>0.08035714286</v>
      </c>
      <c r="E21" s="20">
        <f>E20/B20</f>
        <v>0.04464285714</v>
      </c>
      <c r="F21" s="20">
        <f>F20/B20</f>
        <v>0.1160714286</v>
      </c>
      <c r="G21" s="21">
        <f>G20/B20</f>
        <v>0.1428571429</v>
      </c>
      <c r="H21" s="20">
        <f>H20/B20</f>
        <v>0.07142857143</v>
      </c>
      <c r="I21" s="20">
        <f>I20/B20</f>
        <v>0</v>
      </c>
      <c r="J21" s="20">
        <f>J20/B20</f>
        <v>0.01339285714</v>
      </c>
      <c r="K21" s="22">
        <f>K20/B20</f>
        <v>0.46875</v>
      </c>
      <c r="L21" s="20">
        <f>L20/B20</f>
        <v>0</v>
      </c>
      <c r="M21" s="22">
        <f>M20/B20</f>
        <v>0.5714285714</v>
      </c>
      <c r="N21" s="20">
        <f>N20/B20</f>
        <v>0.3080357143</v>
      </c>
      <c r="O21" s="20">
        <f>O20/B20</f>
        <v>0.2142857143</v>
      </c>
      <c r="P21" s="20">
        <f>P20/B20</f>
        <v>0.09375</v>
      </c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8" width="16.71"/>
  </cols>
  <sheetData>
    <row r="1" ht="16.5" customHeight="1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15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22</v>
      </c>
      <c r="P1" s="2"/>
      <c r="Q1" s="1"/>
      <c r="R1" s="1"/>
    </row>
    <row r="2" ht="16.5" customHeight="1">
      <c r="A2" s="23" t="s">
        <v>5</v>
      </c>
      <c r="B2" s="29"/>
      <c r="C2" s="26" t="s">
        <v>1236</v>
      </c>
      <c r="D2" s="27"/>
      <c r="E2" s="8" t="s">
        <v>1237</v>
      </c>
      <c r="F2" s="26" t="s">
        <v>1238</v>
      </c>
      <c r="G2" s="26" t="s">
        <v>1239</v>
      </c>
      <c r="H2" s="26" t="s">
        <v>1240</v>
      </c>
      <c r="I2" s="26" t="s">
        <v>1241</v>
      </c>
      <c r="J2" s="28" t="s">
        <v>1242</v>
      </c>
      <c r="K2" s="26" t="s">
        <v>1243</v>
      </c>
      <c r="L2" s="26" t="s">
        <v>1244</v>
      </c>
      <c r="M2" s="26" t="s">
        <v>1245</v>
      </c>
      <c r="N2" s="26" t="s">
        <v>1246</v>
      </c>
      <c r="O2" s="26" t="s">
        <v>1247</v>
      </c>
      <c r="Q2" s="8" t="s">
        <v>1248</v>
      </c>
    </row>
    <row r="3" ht="16.5" customHeight="1">
      <c r="A3" s="23" t="s">
        <v>6</v>
      </c>
      <c r="B3" s="26" t="s">
        <v>1249</v>
      </c>
      <c r="C3" s="29"/>
      <c r="D3" s="26" t="s">
        <v>1250</v>
      </c>
      <c r="E3" s="26" t="s">
        <v>1251</v>
      </c>
      <c r="F3" s="26" t="s">
        <v>1252</v>
      </c>
      <c r="G3" s="26" t="s">
        <v>1253</v>
      </c>
      <c r="H3" s="26" t="s">
        <v>1254</v>
      </c>
      <c r="I3" s="26" t="s">
        <v>1255</v>
      </c>
      <c r="J3" s="26" t="s">
        <v>1256</v>
      </c>
      <c r="K3" s="27"/>
      <c r="L3" s="26" t="s">
        <v>1257</v>
      </c>
      <c r="M3" s="26" t="s">
        <v>1258</v>
      </c>
      <c r="N3" s="26" t="s">
        <v>1259</v>
      </c>
      <c r="O3" s="26" t="s">
        <v>1260</v>
      </c>
    </row>
    <row r="4" ht="16.5" customHeight="1">
      <c r="A4" s="2" t="s">
        <v>7</v>
      </c>
      <c r="B4" s="27"/>
      <c r="C4" s="26" t="s">
        <v>1261</v>
      </c>
      <c r="D4" s="29"/>
      <c r="E4" s="8" t="s">
        <v>1262</v>
      </c>
      <c r="F4" s="26" t="s">
        <v>1263</v>
      </c>
      <c r="G4" s="26" t="s">
        <v>1264</v>
      </c>
      <c r="H4" s="26" t="s">
        <v>1265</v>
      </c>
      <c r="I4" s="26" t="s">
        <v>1266</v>
      </c>
      <c r="J4" s="26" t="s">
        <v>1267</v>
      </c>
      <c r="K4" s="26" t="s">
        <v>1268</v>
      </c>
      <c r="L4" s="26" t="s">
        <v>1269</v>
      </c>
      <c r="M4" s="28" t="s">
        <v>1270</v>
      </c>
      <c r="N4" s="28" t="s">
        <v>1271</v>
      </c>
      <c r="O4" s="26" t="s">
        <v>1272</v>
      </c>
      <c r="Q4" s="8" t="s">
        <v>25</v>
      </c>
    </row>
    <row r="5" ht="16.5" customHeight="1">
      <c r="A5" s="2" t="s">
        <v>8</v>
      </c>
      <c r="B5" s="8" t="s">
        <v>1273</v>
      </c>
      <c r="C5" s="26" t="s">
        <v>1274</v>
      </c>
      <c r="D5" s="8" t="s">
        <v>1275</v>
      </c>
      <c r="E5" s="4"/>
      <c r="F5" s="8" t="s">
        <v>1276</v>
      </c>
      <c r="G5" s="8" t="s">
        <v>1277</v>
      </c>
      <c r="H5" s="8" t="s">
        <v>1278</v>
      </c>
      <c r="I5" s="7"/>
      <c r="J5" s="8" t="s">
        <v>1279</v>
      </c>
      <c r="K5" s="8" t="s">
        <v>1280</v>
      </c>
      <c r="L5" s="8" t="s">
        <v>1281</v>
      </c>
      <c r="M5" s="8" t="s">
        <v>1282</v>
      </c>
      <c r="N5" s="8" t="s">
        <v>1283</v>
      </c>
      <c r="O5" s="8" t="s">
        <v>1284</v>
      </c>
      <c r="Q5" s="9">
        <v>44797.0</v>
      </c>
    </row>
    <row r="6" ht="16.5" customHeight="1">
      <c r="A6" s="2" t="s">
        <v>9</v>
      </c>
      <c r="B6" s="26" t="s">
        <v>1285</v>
      </c>
      <c r="C6" s="26" t="s">
        <v>1286</v>
      </c>
      <c r="D6" s="26" t="s">
        <v>1287</v>
      </c>
      <c r="E6" s="8" t="s">
        <v>1288</v>
      </c>
      <c r="F6" s="4"/>
      <c r="G6" s="8" t="s">
        <v>1289</v>
      </c>
      <c r="H6" s="8" t="s">
        <v>1290</v>
      </c>
      <c r="I6" s="8" t="s">
        <v>1291</v>
      </c>
      <c r="J6" s="8" t="s">
        <v>1292</v>
      </c>
      <c r="K6" s="8" t="s">
        <v>1293</v>
      </c>
      <c r="L6" s="8" t="s">
        <v>1294</v>
      </c>
      <c r="M6" s="7"/>
      <c r="N6" s="8" t="s">
        <v>1295</v>
      </c>
      <c r="O6" s="8" t="s">
        <v>1296</v>
      </c>
    </row>
    <row r="7" ht="16.5" customHeight="1">
      <c r="A7" s="2" t="s">
        <v>10</v>
      </c>
      <c r="B7" s="26" t="s">
        <v>1297</v>
      </c>
      <c r="C7" s="26" t="s">
        <v>1298</v>
      </c>
      <c r="D7" s="26" t="s">
        <v>1299</v>
      </c>
      <c r="E7" s="8" t="s">
        <v>1300</v>
      </c>
      <c r="F7" s="8" t="s">
        <v>1301</v>
      </c>
      <c r="G7" s="4"/>
      <c r="H7" s="8" t="s">
        <v>1302</v>
      </c>
      <c r="I7" s="8" t="s">
        <v>1303</v>
      </c>
      <c r="J7" s="8" t="s">
        <v>1304</v>
      </c>
      <c r="K7" s="8" t="s">
        <v>1305</v>
      </c>
      <c r="L7" s="7"/>
      <c r="M7" s="8" t="s">
        <v>1306</v>
      </c>
      <c r="N7" s="8" t="s">
        <v>1307</v>
      </c>
      <c r="O7" s="32" t="s">
        <v>1308</v>
      </c>
    </row>
    <row r="8" ht="16.5" customHeight="1">
      <c r="A8" s="2" t="s">
        <v>11</v>
      </c>
      <c r="B8" s="26" t="s">
        <v>1309</v>
      </c>
      <c r="C8" s="26" t="s">
        <v>1310</v>
      </c>
      <c r="D8" s="26" t="s">
        <v>1311</v>
      </c>
      <c r="E8" s="8" t="s">
        <v>1312</v>
      </c>
      <c r="F8" s="8" t="s">
        <v>1313</v>
      </c>
      <c r="G8" s="8" t="s">
        <v>1314</v>
      </c>
      <c r="H8" s="4"/>
      <c r="I8" s="8" t="s">
        <v>1315</v>
      </c>
      <c r="J8" s="8" t="s">
        <v>1316</v>
      </c>
      <c r="K8" s="8" t="s">
        <v>1317</v>
      </c>
      <c r="L8" s="8" t="s">
        <v>1318</v>
      </c>
      <c r="M8" s="8" t="s">
        <v>1319</v>
      </c>
      <c r="N8" s="7"/>
      <c r="O8" s="8" t="s">
        <v>1320</v>
      </c>
    </row>
    <row r="9" ht="16.5" customHeight="1">
      <c r="A9" s="2" t="s">
        <v>12</v>
      </c>
      <c r="B9" s="26" t="s">
        <v>1321</v>
      </c>
      <c r="C9" s="26" t="s">
        <v>1322</v>
      </c>
      <c r="D9" s="26" t="s">
        <v>1323</v>
      </c>
      <c r="E9" s="7"/>
      <c r="F9" s="8" t="s">
        <v>1324</v>
      </c>
      <c r="G9" s="8" t="s">
        <v>1325</v>
      </c>
      <c r="H9" s="8" t="s">
        <v>1326</v>
      </c>
      <c r="I9" s="4"/>
      <c r="J9" s="8" t="s">
        <v>1327</v>
      </c>
      <c r="K9" s="8" t="s">
        <v>1328</v>
      </c>
      <c r="L9" s="8" t="s">
        <v>1329</v>
      </c>
      <c r="M9" s="8" t="s">
        <v>1330</v>
      </c>
      <c r="N9" s="8" t="s">
        <v>1331</v>
      </c>
      <c r="O9" s="8" t="s">
        <v>1332</v>
      </c>
    </row>
    <row r="10" ht="16.5" customHeight="1">
      <c r="A10" s="2" t="s">
        <v>15</v>
      </c>
      <c r="B10" s="28" t="s">
        <v>1333</v>
      </c>
      <c r="C10" s="26" t="s">
        <v>1334</v>
      </c>
      <c r="D10" s="26" t="s">
        <v>1335</v>
      </c>
      <c r="E10" s="8" t="s">
        <v>1336</v>
      </c>
      <c r="F10" s="8" t="s">
        <v>1337</v>
      </c>
      <c r="G10" s="8" t="s">
        <v>1338</v>
      </c>
      <c r="H10" s="8" t="s">
        <v>1339</v>
      </c>
      <c r="I10" s="8" t="s">
        <v>1340</v>
      </c>
      <c r="J10" s="4"/>
      <c r="K10" s="8" t="s">
        <v>1341</v>
      </c>
      <c r="L10" s="8" t="s">
        <v>1342</v>
      </c>
      <c r="M10" s="8" t="s">
        <v>1343</v>
      </c>
      <c r="N10" s="8" t="s">
        <v>1344</v>
      </c>
      <c r="O10" s="33"/>
    </row>
    <row r="11" ht="16.5" customHeight="1">
      <c r="A11" s="2" t="s">
        <v>17</v>
      </c>
      <c r="B11" s="26" t="s">
        <v>1345</v>
      </c>
      <c r="C11" s="27"/>
      <c r="D11" s="26" t="s">
        <v>1346</v>
      </c>
      <c r="E11" s="8" t="s">
        <v>1347</v>
      </c>
      <c r="F11" s="8" t="s">
        <v>1348</v>
      </c>
      <c r="G11" s="8" t="s">
        <v>1349</v>
      </c>
      <c r="H11" s="8" t="s">
        <v>1350</v>
      </c>
      <c r="I11" s="8" t="s">
        <v>1351</v>
      </c>
      <c r="J11" s="8" t="s">
        <v>1352</v>
      </c>
      <c r="K11" s="4"/>
      <c r="L11" s="8" t="s">
        <v>1353</v>
      </c>
      <c r="M11" s="8" t="s">
        <v>1354</v>
      </c>
      <c r="N11" s="8" t="s">
        <v>1355</v>
      </c>
      <c r="O11" s="8" t="s">
        <v>1356</v>
      </c>
    </row>
    <row r="12" ht="16.5" customHeight="1">
      <c r="A12" s="2" t="s">
        <v>18</v>
      </c>
      <c r="B12" s="26" t="s">
        <v>1357</v>
      </c>
      <c r="C12" s="26" t="s">
        <v>1358</v>
      </c>
      <c r="D12" s="26" t="s">
        <v>1359</v>
      </c>
      <c r="E12" s="8" t="s">
        <v>1360</v>
      </c>
      <c r="F12" s="8" t="s">
        <v>1361</v>
      </c>
      <c r="G12" s="7"/>
      <c r="H12" s="8" t="s">
        <v>1362</v>
      </c>
      <c r="I12" s="8" t="s">
        <v>1363</v>
      </c>
      <c r="J12" s="8" t="s">
        <v>1364</v>
      </c>
      <c r="K12" s="8" t="s">
        <v>1365</v>
      </c>
      <c r="L12" s="4"/>
      <c r="M12" s="8" t="s">
        <v>1366</v>
      </c>
      <c r="N12" s="8" t="s">
        <v>1367</v>
      </c>
      <c r="O12" s="8" t="s">
        <v>1368</v>
      </c>
    </row>
    <row r="13" ht="16.5" customHeight="1">
      <c r="A13" s="2" t="s">
        <v>19</v>
      </c>
      <c r="B13" s="26" t="s">
        <v>1369</v>
      </c>
      <c r="C13" s="26" t="s">
        <v>1370</v>
      </c>
      <c r="D13" s="28" t="s">
        <v>1371</v>
      </c>
      <c r="E13" s="8" t="s">
        <v>1372</v>
      </c>
      <c r="F13" s="7"/>
      <c r="G13" s="8" t="s">
        <v>1373</v>
      </c>
      <c r="H13" s="8" t="s">
        <v>1374</v>
      </c>
      <c r="I13" s="8" t="s">
        <v>1375</v>
      </c>
      <c r="J13" s="8" t="s">
        <v>1376</v>
      </c>
      <c r="K13" s="8" t="s">
        <v>1377</v>
      </c>
      <c r="L13" s="8" t="s">
        <v>1378</v>
      </c>
      <c r="M13" s="4"/>
      <c r="N13" s="8" t="s">
        <v>1379</v>
      </c>
      <c r="O13" s="8" t="s">
        <v>1380</v>
      </c>
    </row>
    <row r="14" ht="16.5" customHeight="1">
      <c r="A14" s="2" t="s">
        <v>20</v>
      </c>
      <c r="B14" s="26" t="s">
        <v>1381</v>
      </c>
      <c r="C14" s="26" t="s">
        <v>1382</v>
      </c>
      <c r="D14" s="28" t="s">
        <v>1383</v>
      </c>
      <c r="E14" s="8" t="s">
        <v>1384</v>
      </c>
      <c r="F14" s="8" t="s">
        <v>1385</v>
      </c>
      <c r="G14" s="8" t="s">
        <v>1386</v>
      </c>
      <c r="H14" s="7"/>
      <c r="I14" s="8" t="s">
        <v>1387</v>
      </c>
      <c r="J14" s="8" t="s">
        <v>1388</v>
      </c>
      <c r="K14" s="8" t="s">
        <v>1389</v>
      </c>
      <c r="L14" s="8" t="s">
        <v>1390</v>
      </c>
      <c r="M14" s="8" t="s">
        <v>1391</v>
      </c>
      <c r="N14" s="4"/>
      <c r="O14" s="8" t="s">
        <v>1392</v>
      </c>
    </row>
    <row r="15" ht="16.5" customHeight="1">
      <c r="A15" s="2" t="s">
        <v>22</v>
      </c>
      <c r="B15" s="26" t="s">
        <v>1393</v>
      </c>
      <c r="C15" s="26" t="s">
        <v>1394</v>
      </c>
      <c r="D15" s="26" t="s">
        <v>1395</v>
      </c>
      <c r="E15" s="8" t="s">
        <v>1396</v>
      </c>
      <c r="F15" s="8" t="s">
        <v>1397</v>
      </c>
      <c r="G15" s="32" t="s">
        <v>1398</v>
      </c>
      <c r="H15" s="8" t="s">
        <v>1399</v>
      </c>
      <c r="I15" s="8" t="s">
        <v>1400</v>
      </c>
      <c r="J15" s="7"/>
      <c r="K15" s="8" t="s">
        <v>1401</v>
      </c>
      <c r="L15" s="8" t="s">
        <v>1402</v>
      </c>
      <c r="M15" s="8" t="s">
        <v>1403</v>
      </c>
      <c r="N15" s="8" t="s">
        <v>1404</v>
      </c>
      <c r="O15" s="4"/>
    </row>
    <row r="16" ht="16.5" customHeight="1">
      <c r="A16" s="2"/>
      <c r="D16" s="8"/>
      <c r="G16" s="8"/>
      <c r="J16" s="13"/>
      <c r="K16" s="8"/>
      <c r="P16" s="15"/>
    </row>
    <row r="17" ht="16.5" customHeight="1">
      <c r="A17" s="1"/>
      <c r="B17" s="8" t="s">
        <v>1405</v>
      </c>
      <c r="D17" s="17" t="s">
        <v>352</v>
      </c>
      <c r="E17" s="17" t="s">
        <v>353</v>
      </c>
      <c r="F17" s="17" t="s">
        <v>354</v>
      </c>
      <c r="G17" s="17" t="s">
        <v>355</v>
      </c>
      <c r="H17" s="17" t="s">
        <v>356</v>
      </c>
      <c r="I17" s="17" t="s">
        <v>357</v>
      </c>
      <c r="J17" s="17" t="s">
        <v>358</v>
      </c>
      <c r="K17" s="8" t="s">
        <v>359</v>
      </c>
      <c r="L17" s="8" t="s">
        <v>360</v>
      </c>
      <c r="M17" s="8" t="s">
        <v>362</v>
      </c>
      <c r="N17" s="18" t="s">
        <v>361</v>
      </c>
      <c r="O17" s="18" t="s">
        <v>363</v>
      </c>
      <c r="P17" s="18" t="s">
        <v>364</v>
      </c>
    </row>
    <row r="18" ht="16.5" customHeight="1">
      <c r="A18" s="1"/>
      <c r="B18">
        <f>COUNTA(B2:O15)</f>
        <v>168</v>
      </c>
      <c r="D18" s="19">
        <f>COUNTIF(B2:O15,"*[S, R2]*")+COUNTIF(B2:O15,"*[R2, S]*")+COUNTIF(B2:O15,"*[R2, S']*")+COUNTIF(B2:O15,"*[S', R2]*")</f>
        <v>18</v>
      </c>
      <c r="E18" s="19">
        <f>COUNTIF(B2:O15,"*[S, L2]*")+COUNTIF(B2:O15,"*[L2, S]*")+COUNTIF(B2:O15,"*[L2, S']*")+COUNTIF(B2:O15,"*[S', L2]*")</f>
        <v>6</v>
      </c>
      <c r="F18" s="19">
        <f>COUNTIF(B2:O15,"*[E, L2]*")+COUNTIF(B2:O15,"*[L2, E]*")+COUNTIF(B2:O15,"*[L2, E']*")+COUNTIF(B2:O15,"*[E', L2]*")</f>
        <v>30</v>
      </c>
      <c r="G18" s="19">
        <f>COUNTIF(B2:O15,"*[E, R2]*")+COUNTIF(B2:O15,"*[R2, E]*")+COUNTIF(B2:O15,"*[R2, E']*")+COUNTIF(B2:O15,"*[E', R2]*")</f>
        <v>34</v>
      </c>
      <c r="H18" s="19">
        <f>COUNTIF(B2:O15,"*[M, U2]*")+COUNTIF(B2:O15,"*[U2, M]*")+COUNTIF(B2:O15,"*[U2, M']*")+COUNTIF(B2:O15,"*[M', U2]*")</f>
        <v>0</v>
      </c>
      <c r="I18" s="19">
        <f>COUNTIF(B2:O15,"*[M, D2]*")+COUNTIF(B2:O15,"*[D2, M]*")+COUNTIF(B2:O15,"*[D2, M']*")+COUNTIF(B2:O15,"*[M', D2]*")</f>
        <v>0</v>
      </c>
      <c r="J18" s="19">
        <f>COUNTIF(B2:O15,"*M u2 M u2*")+COUNTIF(B2:O15,"*u2 M' u2 M'*")+COUNTIF(B2:O15,"*M' u2 M' u2*")+COUNTIF(B2:O15,"*u2 M u2 M*")+COUNTIF(B2:O15,"*u' M u2 M u'*")+COUNTIF(B2:O15,"*u M u2 M u*")+COUNTIF(B2:O15,"*u' M' u2 M' u'*")+COUNTIF(B2:O15,"*u M' u2 M' u*")</f>
        <v>0</v>
      </c>
      <c r="K18">
        <f>SUM(D18:J18)</f>
        <v>88</v>
      </c>
      <c r="L18" s="8">
        <v>0.0</v>
      </c>
      <c r="M18">
        <f>COUNTIF(B2:O15,"*E*")</f>
        <v>97</v>
      </c>
      <c r="N18" s="19">
        <f>COUNTIF(B2:O15,"*S*")</f>
        <v>71</v>
      </c>
      <c r="O18" s="19">
        <f>COUNTIF(B2:O15,"*M*")</f>
        <v>26</v>
      </c>
      <c r="P18" s="19">
        <f>N18+O18+M18-B18</f>
        <v>26</v>
      </c>
    </row>
    <row r="19" ht="16.5" customHeight="1">
      <c r="A19" s="1"/>
      <c r="D19" s="20">
        <f>D18/B18</f>
        <v>0.1071428571</v>
      </c>
      <c r="E19" s="20">
        <f>E18/B18</f>
        <v>0.03571428571</v>
      </c>
      <c r="F19" s="20">
        <f>F18/B18</f>
        <v>0.1785714286</v>
      </c>
      <c r="G19" s="34">
        <f>G18/B18</f>
        <v>0.2023809524</v>
      </c>
      <c r="H19" s="20">
        <f>H18/B18</f>
        <v>0</v>
      </c>
      <c r="I19" s="20">
        <f>I18/B18</f>
        <v>0</v>
      </c>
      <c r="J19" s="20">
        <f>J18/B18</f>
        <v>0</v>
      </c>
      <c r="K19" s="35">
        <f>K18/B18</f>
        <v>0.5238095238</v>
      </c>
      <c r="L19" s="20">
        <f>L18/B18</f>
        <v>0</v>
      </c>
      <c r="M19" s="35">
        <f>M18/B18</f>
        <v>0.5773809524</v>
      </c>
      <c r="N19" s="20">
        <f>N18/B18</f>
        <v>0.4226190476</v>
      </c>
      <c r="O19" s="20">
        <f>O18/B18</f>
        <v>0.1547619048</v>
      </c>
      <c r="P19" s="20">
        <f>P18/B18</f>
        <v>0.1547619048</v>
      </c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1" t="s">
        <v>0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15</v>
      </c>
      <c r="J1" s="2" t="s">
        <v>18</v>
      </c>
      <c r="K1" s="2" t="s">
        <v>19</v>
      </c>
      <c r="L1" s="2" t="s">
        <v>20</v>
      </c>
      <c r="M1" s="2" t="s">
        <v>22</v>
      </c>
      <c r="N1" s="2"/>
      <c r="O1" s="1"/>
      <c r="P1" s="1"/>
      <c r="Q1" s="1"/>
    </row>
    <row r="2" ht="16.5" customHeight="1">
      <c r="A2" s="23" t="s">
        <v>5</v>
      </c>
      <c r="B2" s="29"/>
      <c r="C2" s="27"/>
      <c r="D2" s="8" t="s">
        <v>1406</v>
      </c>
      <c r="E2" s="26" t="s">
        <v>1407</v>
      </c>
      <c r="F2" s="26" t="s">
        <v>1408</v>
      </c>
      <c r="G2" s="26" t="s">
        <v>1409</v>
      </c>
      <c r="H2" s="26" t="s">
        <v>1410</v>
      </c>
      <c r="I2" s="28" t="s">
        <v>1411</v>
      </c>
      <c r="J2" s="26" t="s">
        <v>1412</v>
      </c>
      <c r="K2" s="26" t="s">
        <v>1413</v>
      </c>
      <c r="L2" s="26" t="s">
        <v>1414</v>
      </c>
      <c r="M2" s="26" t="s">
        <v>1415</v>
      </c>
      <c r="O2" s="8" t="s">
        <v>1416</v>
      </c>
    </row>
    <row r="3" ht="16.5" customHeight="1">
      <c r="A3" s="2" t="s">
        <v>7</v>
      </c>
      <c r="B3" s="27"/>
      <c r="C3" s="29"/>
      <c r="D3" s="8" t="s">
        <v>1417</v>
      </c>
      <c r="E3" s="26" t="s">
        <v>1418</v>
      </c>
      <c r="F3" s="26" t="s">
        <v>1419</v>
      </c>
      <c r="G3" s="26" t="s">
        <v>1420</v>
      </c>
      <c r="H3" s="26" t="s">
        <v>1421</v>
      </c>
      <c r="I3" s="26" t="s">
        <v>1422</v>
      </c>
      <c r="J3" s="26" t="s">
        <v>1423</v>
      </c>
      <c r="K3" s="28" t="s">
        <v>1424</v>
      </c>
      <c r="L3" s="28" t="s">
        <v>1425</v>
      </c>
      <c r="M3" s="26" t="s">
        <v>1426</v>
      </c>
      <c r="O3" s="8"/>
    </row>
    <row r="4" ht="16.5" customHeight="1">
      <c r="A4" s="2" t="s">
        <v>8</v>
      </c>
      <c r="B4" s="8" t="s">
        <v>1427</v>
      </c>
      <c r="C4" s="8" t="s">
        <v>1428</v>
      </c>
      <c r="D4" s="4"/>
      <c r="E4" s="8" t="s">
        <v>1429</v>
      </c>
      <c r="F4" s="8" t="s">
        <v>1430</v>
      </c>
      <c r="G4" s="8" t="s">
        <v>1431</v>
      </c>
      <c r="H4" s="7"/>
      <c r="I4" s="8" t="s">
        <v>1432</v>
      </c>
      <c r="J4" s="8" t="s">
        <v>1433</v>
      </c>
      <c r="K4" s="8" t="s">
        <v>1434</v>
      </c>
      <c r="L4" s="8" t="s">
        <v>1435</v>
      </c>
      <c r="M4" s="8" t="s">
        <v>1436</v>
      </c>
      <c r="O4" s="8" t="s">
        <v>25</v>
      </c>
    </row>
    <row r="5" ht="16.5" customHeight="1">
      <c r="A5" s="2" t="s">
        <v>9</v>
      </c>
      <c r="B5" s="26" t="s">
        <v>1437</v>
      </c>
      <c r="C5" s="26" t="s">
        <v>1438</v>
      </c>
      <c r="D5" s="8" t="s">
        <v>1439</v>
      </c>
      <c r="E5" s="4"/>
      <c r="F5" s="8" t="s">
        <v>1440</v>
      </c>
      <c r="G5" s="8" t="s">
        <v>1441</v>
      </c>
      <c r="H5" s="8" t="s">
        <v>1442</v>
      </c>
      <c r="I5" s="8" t="s">
        <v>1443</v>
      </c>
      <c r="J5" s="8" t="s">
        <v>1444</v>
      </c>
      <c r="K5" s="7"/>
      <c r="L5" s="8" t="s">
        <v>1445</v>
      </c>
      <c r="M5" s="8" t="s">
        <v>1446</v>
      </c>
      <c r="O5" s="9">
        <v>44798.0</v>
      </c>
    </row>
    <row r="6" ht="16.5" customHeight="1">
      <c r="A6" s="2" t="s">
        <v>10</v>
      </c>
      <c r="B6" s="26" t="s">
        <v>1447</v>
      </c>
      <c r="C6" s="26" t="s">
        <v>1448</v>
      </c>
      <c r="D6" s="8" t="s">
        <v>1449</v>
      </c>
      <c r="E6" s="8" t="s">
        <v>1450</v>
      </c>
      <c r="F6" s="4"/>
      <c r="G6" s="8" t="s">
        <v>1451</v>
      </c>
      <c r="H6" s="8" t="s">
        <v>1452</v>
      </c>
      <c r="I6" s="8" t="s">
        <v>1453</v>
      </c>
      <c r="J6" s="7"/>
      <c r="K6" s="8" t="s">
        <v>1454</v>
      </c>
      <c r="L6" s="8" t="s">
        <v>1455</v>
      </c>
      <c r="M6" s="32" t="s">
        <v>1456</v>
      </c>
    </row>
    <row r="7" ht="16.5" customHeight="1">
      <c r="A7" s="2" t="s">
        <v>11</v>
      </c>
      <c r="B7" s="26" t="s">
        <v>1457</v>
      </c>
      <c r="C7" s="26" t="s">
        <v>1458</v>
      </c>
      <c r="D7" s="8" t="s">
        <v>1459</v>
      </c>
      <c r="E7" s="8" t="s">
        <v>1460</v>
      </c>
      <c r="F7" s="8" t="s">
        <v>1461</v>
      </c>
      <c r="G7" s="4"/>
      <c r="H7" s="8" t="s">
        <v>1462</v>
      </c>
      <c r="I7" s="8" t="s">
        <v>1463</v>
      </c>
      <c r="J7" s="8" t="s">
        <v>1305</v>
      </c>
      <c r="K7" s="8" t="s">
        <v>1464</v>
      </c>
      <c r="L7" s="7"/>
      <c r="M7" s="8" t="s">
        <v>1465</v>
      </c>
    </row>
    <row r="8" ht="16.5" customHeight="1">
      <c r="A8" s="2" t="s">
        <v>12</v>
      </c>
      <c r="B8" s="26" t="s">
        <v>1466</v>
      </c>
      <c r="C8" s="26" t="s">
        <v>1467</v>
      </c>
      <c r="D8" s="7"/>
      <c r="E8" s="8" t="s">
        <v>1468</v>
      </c>
      <c r="F8" s="8" t="s">
        <v>1469</v>
      </c>
      <c r="G8" s="8" t="s">
        <v>1470</v>
      </c>
      <c r="H8" s="4"/>
      <c r="I8" s="8" t="s">
        <v>1471</v>
      </c>
      <c r="J8" s="8" t="s">
        <v>1472</v>
      </c>
      <c r="K8" s="8" t="s">
        <v>1473</v>
      </c>
      <c r="L8" s="8" t="s">
        <v>1474</v>
      </c>
      <c r="M8" s="8" t="s">
        <v>1475</v>
      </c>
    </row>
    <row r="9" ht="16.5" customHeight="1">
      <c r="A9" s="2" t="s">
        <v>15</v>
      </c>
      <c r="B9" s="28" t="s">
        <v>1476</v>
      </c>
      <c r="C9" s="26" t="s">
        <v>1477</v>
      </c>
      <c r="D9" s="8" t="s">
        <v>1478</v>
      </c>
      <c r="E9" s="8" t="s">
        <v>1479</v>
      </c>
      <c r="F9" s="8" t="s">
        <v>1480</v>
      </c>
      <c r="G9" s="8" t="s">
        <v>1481</v>
      </c>
      <c r="H9" s="8" t="s">
        <v>1482</v>
      </c>
      <c r="I9" s="4"/>
      <c r="J9" s="8" t="s">
        <v>1483</v>
      </c>
      <c r="K9" s="8" t="s">
        <v>1484</v>
      </c>
      <c r="L9" s="8" t="s">
        <v>1485</v>
      </c>
      <c r="M9" s="33"/>
    </row>
    <row r="10" ht="16.5" customHeight="1">
      <c r="A10" s="2" t="s">
        <v>18</v>
      </c>
      <c r="B10" s="26" t="s">
        <v>1486</v>
      </c>
      <c r="C10" s="26" t="s">
        <v>1487</v>
      </c>
      <c r="D10" s="8" t="s">
        <v>1488</v>
      </c>
      <c r="E10" s="8" t="s">
        <v>1489</v>
      </c>
      <c r="F10" s="7"/>
      <c r="G10" s="8" t="s">
        <v>1349</v>
      </c>
      <c r="H10" s="8" t="s">
        <v>1490</v>
      </c>
      <c r="I10" s="8" t="s">
        <v>1491</v>
      </c>
      <c r="J10" s="4"/>
      <c r="K10" s="8" t="s">
        <v>1492</v>
      </c>
      <c r="L10" s="8" t="s">
        <v>1493</v>
      </c>
      <c r="M10" s="8" t="s">
        <v>1494</v>
      </c>
    </row>
    <row r="11" ht="16.5" customHeight="1">
      <c r="A11" s="2" t="s">
        <v>19</v>
      </c>
      <c r="B11" s="26" t="s">
        <v>1495</v>
      </c>
      <c r="C11" s="28" t="s">
        <v>1496</v>
      </c>
      <c r="D11" s="8" t="s">
        <v>1497</v>
      </c>
      <c r="E11" s="7"/>
      <c r="F11" s="8" t="s">
        <v>1498</v>
      </c>
      <c r="G11" s="8" t="s">
        <v>1499</v>
      </c>
      <c r="H11" s="8" t="s">
        <v>1500</v>
      </c>
      <c r="I11" s="8" t="s">
        <v>1501</v>
      </c>
      <c r="J11" s="8" t="s">
        <v>1502</v>
      </c>
      <c r="K11" s="4"/>
      <c r="L11" s="8" t="s">
        <v>1503</v>
      </c>
      <c r="M11" s="8" t="s">
        <v>1504</v>
      </c>
    </row>
    <row r="12" ht="16.5" customHeight="1">
      <c r="A12" s="2" t="s">
        <v>20</v>
      </c>
      <c r="B12" s="26" t="s">
        <v>1505</v>
      </c>
      <c r="C12" s="28" t="s">
        <v>1506</v>
      </c>
      <c r="D12" s="8" t="s">
        <v>1507</v>
      </c>
      <c r="E12" s="8" t="s">
        <v>1508</v>
      </c>
      <c r="F12" s="8" t="s">
        <v>1509</v>
      </c>
      <c r="G12" s="7"/>
      <c r="H12" s="8" t="s">
        <v>1510</v>
      </c>
      <c r="I12" s="8" t="s">
        <v>1511</v>
      </c>
      <c r="J12" s="8" t="s">
        <v>1512</v>
      </c>
      <c r="K12" s="8" t="s">
        <v>1513</v>
      </c>
      <c r="L12" s="4"/>
      <c r="M12" s="8" t="s">
        <v>1514</v>
      </c>
    </row>
    <row r="13" ht="16.5" customHeight="1">
      <c r="A13" s="2" t="s">
        <v>22</v>
      </c>
      <c r="B13" s="26" t="s">
        <v>1515</v>
      </c>
      <c r="C13" s="26" t="s">
        <v>1516</v>
      </c>
      <c r="D13" s="8" t="s">
        <v>1517</v>
      </c>
      <c r="E13" s="8" t="s">
        <v>1518</v>
      </c>
      <c r="F13" s="32" t="s">
        <v>1519</v>
      </c>
      <c r="G13" s="8" t="s">
        <v>1520</v>
      </c>
      <c r="H13" s="8" t="s">
        <v>1521</v>
      </c>
      <c r="I13" s="7"/>
      <c r="J13" s="8" t="s">
        <v>1522</v>
      </c>
      <c r="K13" s="8" t="s">
        <v>1523</v>
      </c>
      <c r="L13" s="8" t="s">
        <v>1524</v>
      </c>
      <c r="M13" s="4"/>
    </row>
    <row r="14" ht="16.5" customHeight="1">
      <c r="A14" s="2"/>
      <c r="C14" s="8"/>
      <c r="F14" s="8"/>
      <c r="I14" s="13"/>
      <c r="N14" s="15"/>
    </row>
    <row r="15" ht="16.5" customHeight="1">
      <c r="A15" s="1"/>
      <c r="B15" s="8" t="s">
        <v>1525</v>
      </c>
      <c r="D15" s="17" t="s">
        <v>352</v>
      </c>
      <c r="E15" s="17" t="s">
        <v>353</v>
      </c>
      <c r="F15" s="17" t="s">
        <v>354</v>
      </c>
      <c r="G15" s="17" t="s">
        <v>355</v>
      </c>
      <c r="H15" s="17" t="s">
        <v>356</v>
      </c>
      <c r="I15" s="17" t="s">
        <v>357</v>
      </c>
      <c r="J15" s="17" t="s">
        <v>358</v>
      </c>
      <c r="K15" s="8" t="s">
        <v>359</v>
      </c>
      <c r="L15" s="8" t="s">
        <v>360</v>
      </c>
      <c r="M15" s="8" t="s">
        <v>362</v>
      </c>
      <c r="N15" s="18" t="s">
        <v>361</v>
      </c>
      <c r="O15" s="18" t="s">
        <v>363</v>
      </c>
      <c r="P15" s="18" t="s">
        <v>364</v>
      </c>
      <c r="Q15" s="18"/>
    </row>
    <row r="16" ht="16.5" customHeight="1">
      <c r="A16" s="1"/>
      <c r="B16">
        <f>COUNTA(B2:M13)</f>
        <v>120</v>
      </c>
      <c r="D16" s="19">
        <f>COUNTIF(B2:M13,"*[S, R2]*")+COUNTIF(B2:M13,"*[R2, S]*")+COUNTIF(B2:M13,"*[R2, S']*")+COUNTIF(B2:M13,"*[S', R2]*")</f>
        <v>2</v>
      </c>
      <c r="E16" s="19">
        <f>COUNTIF(B2:M13,"*[S, L2]*")+COUNTIF(B2:M13,"*[L2, S]*")+COUNTIF(B2:M13,"*[L2, S']*")+COUNTIF(B2:M13,"*[S', L2]*")</f>
        <v>16</v>
      </c>
      <c r="F16" s="19">
        <f>COUNTIF(B2:M13,"*[E, L2]*")+COUNTIF(B2:M13,"*[L2, E]*")+COUNTIF(B2:M13,"*[L2, E']*")+COUNTIF(B2:M13,"*[E', L2]*")</f>
        <v>14</v>
      </c>
      <c r="G16" s="19">
        <f>COUNTIF(B2:M13,"*[E, R2]*")+COUNTIF(B2:M13,"*[R2, E]*")+COUNTIF(B2:M13,"*[R2, E']*")+COUNTIF(B2:M13,"*[E', R2]*")</f>
        <v>32</v>
      </c>
      <c r="H16" s="19">
        <f>COUNTIF(B2:M13,"*[M, U2]*")+COUNTIF(B2:M13,"*[U2, M]*")+COUNTIF(B2:M13,"*[U2, M']*")+COUNTIF(B2:M13,"*[M', U2]*")</f>
        <v>0</v>
      </c>
      <c r="I16" s="19">
        <f>COUNTIF(B2:M13,"*[M, D2]*")+COUNTIF(B2:M13,"*[D2, M]*")+COUNTIF(B2:M13,"*[D2, M']*")+COUNTIF(B2:M13,"*[M', D2]*")</f>
        <v>0</v>
      </c>
      <c r="J16" s="19">
        <f>COUNTIF(B2:M13,"*M u2 M u2*")+COUNTIF(B2:M13,"*u2 M' u2 M'*")+COUNTIF(B2:M13,"*M' u2 M' u2*")+COUNTIF(B2:M13,"*u2 M u2 M*")+COUNTIF(B2:M13,"*u' M u2 M u'*")+COUNTIF(B2:M13,"*u M u2 M u*")+COUNTIF(B2:M13,"*u' M' u2 M' u'*")+COUNTIF(B2:M13,"*u M' u2 M' u*")</f>
        <v>0</v>
      </c>
      <c r="K16">
        <f>SUM(D16:J16)</f>
        <v>64</v>
      </c>
      <c r="L16" s="8">
        <v>0.0</v>
      </c>
      <c r="M16">
        <f>COUNTIF(B2:M13,"*E*")</f>
        <v>66</v>
      </c>
      <c r="N16" s="19">
        <f>COUNTIF(B2:M13,"*S*")</f>
        <v>48</v>
      </c>
      <c r="O16" s="19">
        <f>COUNTIF(B2:M13,"*M*")</f>
        <v>28</v>
      </c>
      <c r="P16" s="19">
        <f>N16+O16+M16-B16</f>
        <v>22</v>
      </c>
      <c r="Q16" s="19"/>
    </row>
    <row r="17" ht="16.5" customHeight="1">
      <c r="A17" s="1"/>
      <c r="D17" s="20">
        <f>D16/B16</f>
        <v>0.01666666667</v>
      </c>
      <c r="E17" s="20">
        <f>E16/B16</f>
        <v>0.1333333333</v>
      </c>
      <c r="F17" s="20">
        <f>F16/B16</f>
        <v>0.1166666667</v>
      </c>
      <c r="G17" s="34">
        <f>G16/B16</f>
        <v>0.2666666667</v>
      </c>
      <c r="H17" s="20">
        <f>H16/B16</f>
        <v>0</v>
      </c>
      <c r="I17" s="20">
        <f>I16/B16</f>
        <v>0</v>
      </c>
      <c r="J17" s="20">
        <f>J16/B16</f>
        <v>0</v>
      </c>
      <c r="K17" s="35">
        <f>K16/B16</f>
        <v>0.5333333333</v>
      </c>
      <c r="L17" s="20">
        <f>L16/B16</f>
        <v>0</v>
      </c>
      <c r="M17" s="35">
        <f>M16/B16</f>
        <v>0.55</v>
      </c>
      <c r="N17" s="20">
        <f>N16/B16</f>
        <v>0.4</v>
      </c>
      <c r="O17" s="20">
        <f>O16/B16</f>
        <v>0.2333333333</v>
      </c>
      <c r="P17" s="20">
        <f>P16/B16</f>
        <v>0.1833333333</v>
      </c>
      <c r="Q17" s="20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15</v>
      </c>
      <c r="H1" s="2" t="s">
        <v>18</v>
      </c>
      <c r="I1" s="2" t="s">
        <v>19</v>
      </c>
      <c r="J1" s="2" t="s">
        <v>20</v>
      </c>
      <c r="K1" s="2" t="s">
        <v>22</v>
      </c>
      <c r="L1" s="2"/>
      <c r="M1" s="1"/>
      <c r="N1" s="1"/>
      <c r="O1" s="1"/>
      <c r="P1" s="1"/>
      <c r="Q1" s="1"/>
    </row>
    <row r="2" ht="16.5" customHeight="1">
      <c r="A2" s="2" t="s">
        <v>8</v>
      </c>
      <c r="B2" s="4"/>
      <c r="C2" s="8" t="s">
        <v>1526</v>
      </c>
      <c r="D2" s="8" t="s">
        <v>1527</v>
      </c>
      <c r="E2" s="8" t="s">
        <v>1528</v>
      </c>
      <c r="F2" s="7"/>
      <c r="G2" s="8" t="s">
        <v>1529</v>
      </c>
      <c r="H2" s="8" t="s">
        <v>1530</v>
      </c>
      <c r="I2" s="8" t="s">
        <v>1531</v>
      </c>
      <c r="J2" s="8" t="s">
        <v>1532</v>
      </c>
      <c r="K2" s="8" t="s">
        <v>1533</v>
      </c>
      <c r="M2" s="8" t="s">
        <v>1534</v>
      </c>
    </row>
    <row r="3" ht="16.5" customHeight="1">
      <c r="A3" s="2" t="s">
        <v>9</v>
      </c>
      <c r="B3" s="8" t="s">
        <v>1535</v>
      </c>
      <c r="C3" s="4"/>
      <c r="D3" s="8" t="s">
        <v>1536</v>
      </c>
      <c r="E3" s="8" t="s">
        <v>1537</v>
      </c>
      <c r="F3" s="8" t="s">
        <v>1538</v>
      </c>
      <c r="G3" s="8" t="s">
        <v>1539</v>
      </c>
      <c r="H3" s="8" t="s">
        <v>1540</v>
      </c>
      <c r="I3" s="7"/>
      <c r="J3" s="8" t="s">
        <v>1541</v>
      </c>
      <c r="K3" s="8" t="s">
        <v>1542</v>
      </c>
      <c r="M3" s="8"/>
    </row>
    <row r="4" ht="16.5" customHeight="1">
      <c r="A4" s="2" t="s">
        <v>10</v>
      </c>
      <c r="B4" s="8" t="s">
        <v>1543</v>
      </c>
      <c r="C4" s="8" t="s">
        <v>1544</v>
      </c>
      <c r="D4" s="4"/>
      <c r="E4" s="8" t="s">
        <v>1545</v>
      </c>
      <c r="F4" s="8" t="s">
        <v>1546</v>
      </c>
      <c r="G4" s="8" t="s">
        <v>1547</v>
      </c>
      <c r="H4" s="7"/>
      <c r="I4" s="8" t="s">
        <v>1548</v>
      </c>
      <c r="J4" s="8" t="s">
        <v>1549</v>
      </c>
      <c r="K4" s="32" t="s">
        <v>1550</v>
      </c>
      <c r="M4" s="8" t="s">
        <v>25</v>
      </c>
    </row>
    <row r="5" ht="16.5" customHeight="1">
      <c r="A5" s="2" t="s">
        <v>11</v>
      </c>
      <c r="B5" s="8" t="s">
        <v>1551</v>
      </c>
      <c r="C5" s="8" t="s">
        <v>27</v>
      </c>
      <c r="D5" s="8" t="s">
        <v>1552</v>
      </c>
      <c r="E5" s="4"/>
      <c r="F5" s="8" t="s">
        <v>1553</v>
      </c>
      <c r="G5" s="8" t="s">
        <v>1506</v>
      </c>
      <c r="H5" s="8" t="s">
        <v>1554</v>
      </c>
      <c r="I5" s="8" t="s">
        <v>1555</v>
      </c>
      <c r="J5" s="7"/>
      <c r="K5" s="8" t="s">
        <v>1556</v>
      </c>
      <c r="M5" s="9">
        <v>44798.0</v>
      </c>
    </row>
    <row r="6" ht="16.5" customHeight="1">
      <c r="A6" s="2" t="s">
        <v>12</v>
      </c>
      <c r="B6" s="7"/>
      <c r="C6" s="8" t="s">
        <v>1557</v>
      </c>
      <c r="D6" s="8" t="s">
        <v>1558</v>
      </c>
      <c r="E6" s="8" t="s">
        <v>1559</v>
      </c>
      <c r="F6" s="4"/>
      <c r="G6" s="8" t="s">
        <v>1560</v>
      </c>
      <c r="H6" s="8" t="s">
        <v>1561</v>
      </c>
      <c r="I6" s="8" t="s">
        <v>1562</v>
      </c>
      <c r="J6" s="8" t="s">
        <v>1563</v>
      </c>
      <c r="K6" s="8" t="s">
        <v>1564</v>
      </c>
    </row>
    <row r="7" ht="16.5" customHeight="1">
      <c r="A7" s="2" t="s">
        <v>15</v>
      </c>
      <c r="B7" s="8" t="s">
        <v>1565</v>
      </c>
      <c r="C7" s="8" t="s">
        <v>1566</v>
      </c>
      <c r="D7" s="8" t="s">
        <v>1567</v>
      </c>
      <c r="E7" s="8" t="s">
        <v>1425</v>
      </c>
      <c r="F7" s="8" t="s">
        <v>1568</v>
      </c>
      <c r="G7" s="4"/>
      <c r="H7" s="8" t="s">
        <v>1569</v>
      </c>
      <c r="I7" s="8" t="s">
        <v>1570</v>
      </c>
      <c r="J7" s="8" t="s">
        <v>1571</v>
      </c>
      <c r="K7" s="33"/>
    </row>
    <row r="8" ht="16.5" customHeight="1">
      <c r="A8" s="2" t="s">
        <v>18</v>
      </c>
      <c r="B8" s="8" t="s">
        <v>1572</v>
      </c>
      <c r="C8" s="8" t="s">
        <v>1573</v>
      </c>
      <c r="D8" s="7"/>
      <c r="E8" s="8" t="s">
        <v>1574</v>
      </c>
      <c r="F8" s="8" t="s">
        <v>1575</v>
      </c>
      <c r="G8" s="8" t="s">
        <v>1576</v>
      </c>
      <c r="H8" s="4"/>
      <c r="I8" s="8" t="s">
        <v>1577</v>
      </c>
      <c r="J8" s="8" t="s">
        <v>1578</v>
      </c>
      <c r="K8" s="8" t="s">
        <v>1579</v>
      </c>
    </row>
    <row r="9" ht="16.5" customHeight="1">
      <c r="A9" s="2" t="s">
        <v>19</v>
      </c>
      <c r="B9" s="8" t="s">
        <v>1580</v>
      </c>
      <c r="C9" s="7"/>
      <c r="D9" s="8" t="s">
        <v>1581</v>
      </c>
      <c r="E9" s="8" t="s">
        <v>1582</v>
      </c>
      <c r="F9" s="8" t="s">
        <v>1583</v>
      </c>
      <c r="G9" s="8" t="s">
        <v>1584</v>
      </c>
      <c r="H9" s="8" t="s">
        <v>1585</v>
      </c>
      <c r="I9" s="4"/>
      <c r="J9" s="8" t="s">
        <v>1586</v>
      </c>
      <c r="K9" s="8" t="s">
        <v>1587</v>
      </c>
    </row>
    <row r="10" ht="16.5" customHeight="1">
      <c r="A10" s="2" t="s">
        <v>20</v>
      </c>
      <c r="B10" s="8" t="s">
        <v>1588</v>
      </c>
      <c r="C10" s="8" t="s">
        <v>1589</v>
      </c>
      <c r="D10" s="8" t="s">
        <v>1590</v>
      </c>
      <c r="E10" s="7"/>
      <c r="F10" s="8" t="s">
        <v>1591</v>
      </c>
      <c r="G10" s="8" t="s">
        <v>1592</v>
      </c>
      <c r="H10" s="8" t="s">
        <v>1593</v>
      </c>
      <c r="I10" s="8" t="s">
        <v>1594</v>
      </c>
      <c r="J10" s="4"/>
      <c r="K10" s="8" t="s">
        <v>1595</v>
      </c>
    </row>
    <row r="11" ht="16.5" customHeight="1">
      <c r="A11" s="2" t="s">
        <v>22</v>
      </c>
      <c r="B11" s="8" t="s">
        <v>1596</v>
      </c>
      <c r="C11" s="8" t="s">
        <v>1597</v>
      </c>
      <c r="D11" s="32" t="s">
        <v>1598</v>
      </c>
      <c r="E11" s="8" t="s">
        <v>1599</v>
      </c>
      <c r="F11" s="8" t="s">
        <v>1600</v>
      </c>
      <c r="G11" s="7"/>
      <c r="H11" s="8" t="s">
        <v>1601</v>
      </c>
      <c r="I11" s="8" t="s">
        <v>1602</v>
      </c>
      <c r="J11" s="8" t="s">
        <v>1603</v>
      </c>
      <c r="K11" s="4"/>
    </row>
    <row r="12" ht="16.5" customHeight="1">
      <c r="A12" s="2"/>
      <c r="D12" s="8"/>
      <c r="G12" s="13"/>
      <c r="L12" s="15"/>
    </row>
    <row r="13" ht="16.5" customHeight="1">
      <c r="A13" s="1"/>
      <c r="B13" s="8" t="s">
        <v>1604</v>
      </c>
      <c r="D13" s="17" t="s">
        <v>352</v>
      </c>
      <c r="E13" s="17" t="s">
        <v>353</v>
      </c>
      <c r="F13" s="17" t="s">
        <v>354</v>
      </c>
      <c r="G13" s="17" t="s">
        <v>355</v>
      </c>
      <c r="H13" s="17" t="s">
        <v>356</v>
      </c>
      <c r="I13" s="17" t="s">
        <v>357</v>
      </c>
      <c r="J13" s="17" t="s">
        <v>358</v>
      </c>
      <c r="K13" s="8" t="s">
        <v>359</v>
      </c>
      <c r="L13" s="8" t="s">
        <v>360</v>
      </c>
      <c r="M13" s="8" t="s">
        <v>362</v>
      </c>
      <c r="N13" s="18" t="s">
        <v>361</v>
      </c>
      <c r="O13" s="18" t="s">
        <v>363</v>
      </c>
      <c r="P13" s="18" t="s">
        <v>364</v>
      </c>
      <c r="Q13" s="18"/>
    </row>
    <row r="14" ht="16.5" customHeight="1">
      <c r="A14" s="1"/>
      <c r="B14">
        <f>COUNTA(B2:K11)</f>
        <v>80</v>
      </c>
      <c r="D14" s="19">
        <f>COUNTIF(B2:K11,"*[S, R2]*")+COUNTIF(B2:K11,"*[R2, S]*")+COUNTIF(B2:K11,"*[R2, S']*")+COUNTIF(B2:K11,"*[S', R2]*")</f>
        <v>14</v>
      </c>
      <c r="E14" s="19">
        <f>COUNTIF(B2:K11,"*[S, L2]*")+COUNTIF(B2:K11,"*[L2, S]*")+COUNTIF(B2:K11,"*[L2, S']*")+COUNTIF(B2:K11,"*[S', L2]*")</f>
        <v>4</v>
      </c>
      <c r="F14" s="19">
        <f>COUNTIF(B2:K11,"*[E, L2]*")+COUNTIF(B2:K11,"*[L2, E]*")+COUNTIF(B2:K11,"*[L2, E']*")+COUNTIF(B2:K11,"*[E', L2]*")</f>
        <v>8</v>
      </c>
      <c r="G14" s="19">
        <f>COUNTIF(B2:K11,"*[E, R2]*")+COUNTIF(B2:K11,"*[R2, E]*")+COUNTIF(B2:K11,"*[R2, E']*")+COUNTIF(B2:K11,"*[E', R2]*")</f>
        <v>10</v>
      </c>
      <c r="H14" s="19">
        <f>COUNTIF(B2:K11,"*[M, U2]*")+COUNTIF(B2:K11,"*[U2, M]*")+COUNTIF(B2:K11,"*[U2, M']*")+COUNTIF(B2:K11,"*[M', U2]*")</f>
        <v>0</v>
      </c>
      <c r="I14" s="19">
        <f>COUNTIF(B2:K11,"*[M, D2]*")+COUNTIF(B2:K11,"*[D2, M]*")+COUNTIF(B2:K11,"*[D2, M']*")+COUNTIF(B2:K11,"*[M', D2]*")</f>
        <v>0</v>
      </c>
      <c r="J14" s="19">
        <f>COUNTIF(B2:K11,"*M u2 M u2*")+COUNTIF(B2:K11,"*u2 M' u2 M'*")+COUNTIF(B2:K11,"*M' u2 M' u2*")+COUNTIF(B2:K11,"*u2 M u2 M*")+COUNTIF(B2:K11,"*u' M u2 M u'*")+COUNTIF(B2:K11,"*u M u2 M u*")+COUNTIF(B2:K11,"*u' M' u2 M' u'*")+COUNTIF(B2:K11,"*u M' u2 M' u*")</f>
        <v>0</v>
      </c>
      <c r="K14">
        <f>SUM(D14:J14)</f>
        <v>36</v>
      </c>
      <c r="L14" s="8">
        <v>0.0</v>
      </c>
      <c r="M14">
        <f>COUNTIF(B2:K11,"*E*")</f>
        <v>34</v>
      </c>
      <c r="N14" s="19">
        <f>COUNTIF(B2:K11,"*S*")</f>
        <v>38</v>
      </c>
      <c r="O14" s="19">
        <f>COUNTIF(B2:K11,"*M*")</f>
        <v>30</v>
      </c>
      <c r="P14" s="19">
        <f>N14+O14+M14-B14</f>
        <v>22</v>
      </c>
      <c r="Q14" s="19"/>
    </row>
    <row r="15" ht="16.5" customHeight="1">
      <c r="A15" s="1"/>
      <c r="D15" s="20">
        <f>D14/B14</f>
        <v>0.175</v>
      </c>
      <c r="E15" s="20">
        <f>E14/B14</f>
        <v>0.05</v>
      </c>
      <c r="F15" s="20">
        <f>F14/B14</f>
        <v>0.1</v>
      </c>
      <c r="G15" s="34">
        <f>G14/B14</f>
        <v>0.125</v>
      </c>
      <c r="H15" s="20">
        <f>H14/B14</f>
        <v>0</v>
      </c>
      <c r="I15" s="20">
        <f>I14/B14</f>
        <v>0</v>
      </c>
      <c r="J15" s="20">
        <f>J14/B14</f>
        <v>0</v>
      </c>
      <c r="K15" s="35">
        <f>K14/B14</f>
        <v>0.45</v>
      </c>
      <c r="L15" s="20">
        <f>L14/B14</f>
        <v>0</v>
      </c>
      <c r="M15" s="35">
        <f>M14/B14</f>
        <v>0.425</v>
      </c>
      <c r="N15" s="20">
        <f>N14/B14</f>
        <v>0.475</v>
      </c>
      <c r="O15" s="20">
        <f>O14/B14</f>
        <v>0.375</v>
      </c>
      <c r="P15" s="20">
        <f>P14/B14</f>
        <v>0.275</v>
      </c>
      <c r="Q15" s="20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1" t="s">
        <v>0</v>
      </c>
      <c r="B1" s="2" t="s">
        <v>8</v>
      </c>
      <c r="C1" s="2" t="s">
        <v>10</v>
      </c>
      <c r="D1" s="2" t="s">
        <v>11</v>
      </c>
      <c r="E1" s="2" t="s">
        <v>12</v>
      </c>
      <c r="F1" s="2" t="s">
        <v>15</v>
      </c>
      <c r="G1" s="2" t="s">
        <v>18</v>
      </c>
      <c r="H1" s="2" t="s">
        <v>20</v>
      </c>
      <c r="I1" s="2" t="s">
        <v>22</v>
      </c>
      <c r="J1" s="2"/>
      <c r="K1" s="1"/>
      <c r="L1" s="1"/>
      <c r="M1" s="1"/>
      <c r="N1" s="1"/>
      <c r="O1" s="1"/>
      <c r="P1" s="1"/>
      <c r="Q1" s="1"/>
    </row>
    <row r="2" ht="16.5" customHeight="1">
      <c r="A2" s="2" t="s">
        <v>8</v>
      </c>
      <c r="B2" s="4"/>
      <c r="C2" s="8" t="s">
        <v>1605</v>
      </c>
      <c r="D2" s="8" t="s">
        <v>1606</v>
      </c>
      <c r="E2" s="7"/>
      <c r="F2" s="8" t="s">
        <v>1607</v>
      </c>
      <c r="G2" s="8" t="s">
        <v>1608</v>
      </c>
      <c r="H2" s="8" t="s">
        <v>1609</v>
      </c>
      <c r="I2" s="8" t="s">
        <v>1610</v>
      </c>
      <c r="K2" s="8" t="s">
        <v>1611</v>
      </c>
    </row>
    <row r="3" ht="16.5" customHeight="1">
      <c r="A3" s="2" t="s">
        <v>10</v>
      </c>
      <c r="B3" s="8" t="s">
        <v>1612</v>
      </c>
      <c r="C3" s="4"/>
      <c r="D3" s="8" t="s">
        <v>1613</v>
      </c>
      <c r="E3" s="8" t="s">
        <v>1614</v>
      </c>
      <c r="F3" s="8" t="s">
        <v>1615</v>
      </c>
      <c r="G3" s="7"/>
      <c r="H3" s="8" t="s">
        <v>1616</v>
      </c>
      <c r="I3" s="32" t="s">
        <v>1617</v>
      </c>
    </row>
    <row r="4" ht="16.5" customHeight="1">
      <c r="A4" s="2" t="s">
        <v>11</v>
      </c>
      <c r="B4" s="8" t="s">
        <v>1618</v>
      </c>
      <c r="C4" s="8" t="s">
        <v>1619</v>
      </c>
      <c r="D4" s="4"/>
      <c r="E4" s="8" t="s">
        <v>1620</v>
      </c>
      <c r="F4" s="8" t="s">
        <v>1621</v>
      </c>
      <c r="G4" s="8" t="s">
        <v>1622</v>
      </c>
      <c r="H4" s="7"/>
      <c r="I4" s="8" t="s">
        <v>1623</v>
      </c>
      <c r="K4" s="8" t="s">
        <v>25</v>
      </c>
    </row>
    <row r="5" ht="16.5" customHeight="1">
      <c r="A5" s="2" t="s">
        <v>12</v>
      </c>
      <c r="B5" s="7"/>
      <c r="C5" s="8" t="s">
        <v>1624</v>
      </c>
      <c r="D5" s="8" t="s">
        <v>1625</v>
      </c>
      <c r="E5" s="4"/>
      <c r="F5" s="8" t="s">
        <v>1626</v>
      </c>
      <c r="G5" s="8" t="s">
        <v>1627</v>
      </c>
      <c r="H5" s="8" t="s">
        <v>1628</v>
      </c>
      <c r="I5" s="8" t="s">
        <v>1629</v>
      </c>
      <c r="K5" s="9">
        <v>44798.0</v>
      </c>
    </row>
    <row r="6" ht="16.5" customHeight="1">
      <c r="A6" s="2" t="s">
        <v>15</v>
      </c>
      <c r="B6" s="8" t="s">
        <v>1630</v>
      </c>
      <c r="C6" s="8" t="s">
        <v>1631</v>
      </c>
      <c r="D6" s="8" t="s">
        <v>1632</v>
      </c>
      <c r="E6" s="8" t="s">
        <v>1633</v>
      </c>
      <c r="F6" s="4"/>
      <c r="G6" s="8" t="s">
        <v>1634</v>
      </c>
      <c r="H6" s="8" t="s">
        <v>1635</v>
      </c>
      <c r="I6" s="33"/>
    </row>
    <row r="7" ht="16.5" customHeight="1">
      <c r="A7" s="2" t="s">
        <v>18</v>
      </c>
      <c r="B7" s="8" t="s">
        <v>1636</v>
      </c>
      <c r="C7" s="7"/>
      <c r="D7" s="8" t="s">
        <v>1637</v>
      </c>
      <c r="E7" s="8" t="s">
        <v>1638</v>
      </c>
      <c r="F7" s="8" t="s">
        <v>1639</v>
      </c>
      <c r="G7" s="4"/>
      <c r="H7" s="8" t="s">
        <v>1578</v>
      </c>
      <c r="I7" s="8" t="s">
        <v>1640</v>
      </c>
    </row>
    <row r="8" ht="16.5" customHeight="1">
      <c r="A8" s="2" t="s">
        <v>20</v>
      </c>
      <c r="B8" s="8" t="s">
        <v>1641</v>
      </c>
      <c r="C8" s="8" t="s">
        <v>1642</v>
      </c>
      <c r="D8" s="7"/>
      <c r="E8" s="8" t="s">
        <v>1643</v>
      </c>
      <c r="F8" s="8" t="s">
        <v>1644</v>
      </c>
      <c r="G8" s="8" t="s">
        <v>1593</v>
      </c>
      <c r="H8" s="4"/>
      <c r="I8" s="8" t="s">
        <v>1645</v>
      </c>
    </row>
    <row r="9" ht="16.5" customHeight="1">
      <c r="A9" s="2" t="s">
        <v>22</v>
      </c>
      <c r="B9" s="8" t="s">
        <v>1646</v>
      </c>
      <c r="C9" s="32" t="s">
        <v>1647</v>
      </c>
      <c r="D9" s="8" t="s">
        <v>1648</v>
      </c>
      <c r="E9" s="8" t="s">
        <v>1649</v>
      </c>
      <c r="F9" s="7"/>
      <c r="G9" s="8" t="s">
        <v>1650</v>
      </c>
      <c r="H9" s="8" t="s">
        <v>1651</v>
      </c>
      <c r="I9" s="4"/>
    </row>
    <row r="10" ht="16.5" customHeight="1">
      <c r="A10" s="2"/>
      <c r="C10" s="8"/>
      <c r="F10" s="13"/>
      <c r="J10" s="15"/>
    </row>
    <row r="11" ht="16.5" customHeight="1">
      <c r="A11" s="1"/>
      <c r="B11" s="8" t="s">
        <v>1652</v>
      </c>
      <c r="D11" s="17" t="s">
        <v>352</v>
      </c>
      <c r="E11" s="17" t="s">
        <v>353</v>
      </c>
      <c r="F11" s="17" t="s">
        <v>354</v>
      </c>
      <c r="G11" s="17" t="s">
        <v>355</v>
      </c>
      <c r="H11" s="17" t="s">
        <v>356</v>
      </c>
      <c r="I11" s="17" t="s">
        <v>357</v>
      </c>
      <c r="J11" s="17" t="s">
        <v>358</v>
      </c>
      <c r="K11" s="8" t="s">
        <v>359</v>
      </c>
      <c r="L11" s="8" t="s">
        <v>360</v>
      </c>
      <c r="M11" s="8" t="s">
        <v>362</v>
      </c>
      <c r="N11" s="18" t="s">
        <v>361</v>
      </c>
      <c r="O11" s="18" t="s">
        <v>363</v>
      </c>
      <c r="P11" s="18" t="s">
        <v>364</v>
      </c>
      <c r="Q11" s="18"/>
    </row>
    <row r="12" ht="16.5" customHeight="1">
      <c r="A12" s="1"/>
      <c r="B12">
        <f>COUNTA(B2:I9)</f>
        <v>48</v>
      </c>
      <c r="D12" s="19">
        <f>COUNTIF(B2:I9,"*[S, R2]*")+COUNTIF(B2:I9,"*[R2, S]*")+COUNTIF(B2:I9,"*[R2, S']*")+COUNTIF(B2:I9,"*[S', R2]*")</f>
        <v>2</v>
      </c>
      <c r="E12" s="19">
        <f>COUNTIF(B2:I9,"*[S, L2]*")+COUNTIF(B2:I9,"*[L2, S]*")+COUNTIF(B2:I9,"*[L2, S']*")+COUNTIF(B2:I9,"*[S', L2]*")</f>
        <v>0</v>
      </c>
      <c r="F12" s="19">
        <f>COUNTIF(B2:I9,"*[E, L2]*")+COUNTIF(B2:I9,"*[L2, E]*")+COUNTIF(B2:I9,"*[L2, E']*")+COUNTIF(B2:I9,"*[E', L2]*")</f>
        <v>10</v>
      </c>
      <c r="G12" s="19">
        <f>COUNTIF(B2:I9,"*[E, R2]*")+COUNTIF(B2:I9,"*[R2, E]*")+COUNTIF(B2:I9,"*[R2, E']*")+COUNTIF(B2:I9,"*[E', R2]*")</f>
        <v>10</v>
      </c>
      <c r="H12" s="19">
        <f>COUNTIF(B2:I9,"*[M, U2]*")+COUNTIF(B2:I9,"*[U2, M]*")+COUNTIF(B2:I9,"*[U2, M']*")+COUNTIF(B2:I9,"*[M', U2]*")</f>
        <v>0</v>
      </c>
      <c r="I12" s="19">
        <f>COUNTIF(B2:I9,"*[M, D2]*")+COUNTIF(B2:I9,"*[D2, M]*")+COUNTIF(B2:I9,"*[D2, M']*")+COUNTIF(B2:I9,"*[M', D2]*")</f>
        <v>0</v>
      </c>
      <c r="J12" s="19">
        <f>COUNTIF(B2:I9,"*M u2 M u2*")+COUNTIF(B2:I9,"*u2 M' u2 M'*")+COUNTIF(B2:I9,"*M' u2 M' u2*")+COUNTIF(B2:I9,"*u2 M u2 M*")+COUNTIF(B2:I9,"*u' M u2 M u'*")+COUNTIF(B2:I9,"*u M u2 M u*")+COUNTIF(B2:I9,"*u' M' u2 M' u'*")+COUNTIF(B2:I9,"*u M' u2 M' u*")</f>
        <v>0</v>
      </c>
      <c r="K12">
        <f>SUM(D12:J12)</f>
        <v>22</v>
      </c>
      <c r="L12" s="8">
        <v>0.0</v>
      </c>
      <c r="M12">
        <f>COUNTIF(B2:I9,"*E*")</f>
        <v>30</v>
      </c>
      <c r="N12" s="19">
        <f>COUNTIF(B2:I9,"*S*")</f>
        <v>14</v>
      </c>
      <c r="O12" s="19">
        <f>COUNTIF(B2:I9,"*M*")</f>
        <v>22</v>
      </c>
      <c r="P12" s="19">
        <f>N12+O12+M12-B12</f>
        <v>18</v>
      </c>
      <c r="Q12" s="19"/>
    </row>
    <row r="13" ht="16.5" customHeight="1">
      <c r="A13" s="1"/>
      <c r="D13" s="20">
        <f>D12/B12</f>
        <v>0.04166666667</v>
      </c>
      <c r="E13" s="20">
        <f>E12/B12</f>
        <v>0</v>
      </c>
      <c r="F13" s="20">
        <f>F12/B12</f>
        <v>0.2083333333</v>
      </c>
      <c r="G13" s="34">
        <f>G12/B12</f>
        <v>0.2083333333</v>
      </c>
      <c r="H13" s="20">
        <f>H12/B12</f>
        <v>0</v>
      </c>
      <c r="I13" s="20">
        <f>I12/B12</f>
        <v>0</v>
      </c>
      <c r="J13" s="20">
        <f>J12/B12</f>
        <v>0</v>
      </c>
      <c r="K13" s="35">
        <f>K12/B12</f>
        <v>0.4583333333</v>
      </c>
      <c r="L13" s="20">
        <f>L12/B12</f>
        <v>0</v>
      </c>
      <c r="M13" s="35">
        <f>M12/B12</f>
        <v>0.625</v>
      </c>
      <c r="N13" s="20">
        <f>N12/B12</f>
        <v>0.2916666667</v>
      </c>
      <c r="O13" s="20">
        <f>O12/B12</f>
        <v>0.4583333333</v>
      </c>
      <c r="P13" s="20">
        <f>P12/B12</f>
        <v>0.375</v>
      </c>
      <c r="Q13" s="20"/>
    </row>
    <row r="14" ht="16.5" customHeight="1">
      <c r="A14" s="1"/>
    </row>
    <row r="15" ht="16.5" customHeight="1">
      <c r="A15" s="1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1" t="s">
        <v>0</v>
      </c>
      <c r="B1" s="2" t="s">
        <v>10</v>
      </c>
      <c r="C1" s="2" t="s">
        <v>11</v>
      </c>
      <c r="D1" s="2" t="s">
        <v>15</v>
      </c>
      <c r="E1" s="2" t="s">
        <v>18</v>
      </c>
      <c r="F1" s="2" t="s">
        <v>20</v>
      </c>
      <c r="G1" s="2" t="s">
        <v>22</v>
      </c>
      <c r="H1" s="2"/>
      <c r="I1" s="1"/>
      <c r="J1" s="1"/>
      <c r="K1" s="1"/>
      <c r="L1" s="1"/>
      <c r="M1" s="1"/>
      <c r="N1" s="1"/>
      <c r="O1" s="1"/>
      <c r="P1" s="1"/>
      <c r="Q1" s="1"/>
    </row>
    <row r="2" ht="16.5" customHeight="1">
      <c r="A2" s="2" t="s">
        <v>10</v>
      </c>
      <c r="B2" s="4"/>
      <c r="C2" s="8" t="s">
        <v>1653</v>
      </c>
      <c r="D2" s="8" t="s">
        <v>1654</v>
      </c>
      <c r="E2" s="7"/>
      <c r="F2" s="8" t="s">
        <v>1655</v>
      </c>
      <c r="G2" s="32" t="s">
        <v>1656</v>
      </c>
      <c r="I2" s="8" t="s">
        <v>1657</v>
      </c>
    </row>
    <row r="3" ht="16.5" customHeight="1">
      <c r="A3" s="2" t="s">
        <v>11</v>
      </c>
      <c r="B3" s="8" t="s">
        <v>1658</v>
      </c>
      <c r="C3" s="4"/>
      <c r="D3" s="8" t="s">
        <v>1659</v>
      </c>
      <c r="E3" s="8" t="s">
        <v>1660</v>
      </c>
      <c r="F3" s="7"/>
      <c r="G3" s="8" t="s">
        <v>1661</v>
      </c>
    </row>
    <row r="4" ht="16.5" customHeight="1">
      <c r="A4" s="2" t="s">
        <v>15</v>
      </c>
      <c r="B4" s="8" t="s">
        <v>1662</v>
      </c>
      <c r="C4" s="8" t="s">
        <v>1663</v>
      </c>
      <c r="D4" s="4"/>
      <c r="E4" s="8" t="s">
        <v>1664</v>
      </c>
      <c r="F4" s="8" t="s">
        <v>1665</v>
      </c>
      <c r="G4" s="33"/>
      <c r="I4" s="8" t="s">
        <v>25</v>
      </c>
    </row>
    <row r="5" ht="16.5" customHeight="1">
      <c r="A5" s="2" t="s">
        <v>18</v>
      </c>
      <c r="B5" s="7"/>
      <c r="C5" s="8" t="s">
        <v>1666</v>
      </c>
      <c r="D5" s="8" t="s">
        <v>1667</v>
      </c>
      <c r="E5" s="4"/>
      <c r="F5" s="8" t="s">
        <v>1668</v>
      </c>
      <c r="G5" s="8" t="s">
        <v>1669</v>
      </c>
      <c r="I5" s="9">
        <v>44798.0</v>
      </c>
    </row>
    <row r="6" ht="16.5" customHeight="1">
      <c r="A6" s="2" t="s">
        <v>20</v>
      </c>
      <c r="B6" s="8" t="s">
        <v>1670</v>
      </c>
      <c r="C6" s="7"/>
      <c r="D6" s="8" t="s">
        <v>1671</v>
      </c>
      <c r="E6" s="8" t="s">
        <v>1672</v>
      </c>
      <c r="F6" s="4"/>
      <c r="G6" s="8" t="s">
        <v>1673</v>
      </c>
    </row>
    <row r="7" ht="16.5" customHeight="1">
      <c r="A7" s="2" t="s">
        <v>22</v>
      </c>
      <c r="B7" s="32" t="s">
        <v>1674</v>
      </c>
      <c r="C7" s="8" t="s">
        <v>1675</v>
      </c>
      <c r="D7" s="7"/>
      <c r="E7" s="8" t="s">
        <v>1676</v>
      </c>
      <c r="F7" s="8" t="s">
        <v>1677</v>
      </c>
      <c r="G7" s="4"/>
    </row>
    <row r="8" ht="16.5" customHeight="1">
      <c r="A8" s="2"/>
      <c r="B8" s="8"/>
      <c r="D8" s="13"/>
      <c r="H8" s="15"/>
    </row>
    <row r="9" ht="16.5" customHeight="1">
      <c r="A9" s="1"/>
      <c r="B9" s="8" t="s">
        <v>1678</v>
      </c>
      <c r="D9" s="17" t="s">
        <v>352</v>
      </c>
      <c r="E9" s="17" t="s">
        <v>353</v>
      </c>
      <c r="F9" s="17" t="s">
        <v>354</v>
      </c>
      <c r="G9" s="17" t="s">
        <v>355</v>
      </c>
      <c r="H9" s="17" t="s">
        <v>356</v>
      </c>
      <c r="I9" s="17" t="s">
        <v>357</v>
      </c>
      <c r="J9" s="17" t="s">
        <v>358</v>
      </c>
      <c r="K9" s="8" t="s">
        <v>359</v>
      </c>
      <c r="L9" s="8" t="s">
        <v>360</v>
      </c>
      <c r="M9" s="8" t="s">
        <v>362</v>
      </c>
      <c r="N9" s="18" t="s">
        <v>361</v>
      </c>
      <c r="O9" s="18" t="s">
        <v>363</v>
      </c>
      <c r="P9" s="18" t="s">
        <v>364</v>
      </c>
      <c r="Q9" s="18"/>
    </row>
    <row r="10" ht="16.5" customHeight="1">
      <c r="A10" s="1"/>
      <c r="B10">
        <f>COUNTA(B2:G7)</f>
        <v>24</v>
      </c>
      <c r="D10" s="19">
        <f>COUNTIF(B2:G7,"*[S, R2]*")+COUNTIF(B2:G7,"*[R2, S]*")+COUNTIF(B2:G7,"*[R2, S']*")+COUNTIF(B2:G7,"*[S', R2]*")</f>
        <v>2</v>
      </c>
      <c r="E10" s="19">
        <f>COUNTIF(B2:G7,"*[S, L2]*")+COUNTIF(B2:G7,"*[L2, S]*")+COUNTIF(B2:G7,"*[L2, S']*")+COUNTIF(B2:G7,"*[S', L2]*")</f>
        <v>2</v>
      </c>
      <c r="F10" s="19">
        <f>COUNTIF(B2:G7,"*[E, L2]*")+COUNTIF(B2:G7,"*[L2, E]*")+COUNTIF(B2:G7,"*[L2, E']*")+COUNTIF(B2:G7,"*[E', L2]*")</f>
        <v>4</v>
      </c>
      <c r="G10" s="19">
        <f>COUNTIF(B2:G7,"*[E, R2]*")+COUNTIF(B2:G7,"*[R2, E]*")+COUNTIF(B2:G7,"*[R2, E']*")+COUNTIF(B2:G7,"*[E', R2]*")</f>
        <v>6</v>
      </c>
      <c r="H10" s="19">
        <f>COUNTIF(B2:G7,"*[M, U2]*")+COUNTIF(B2:G7,"*[U2, M]*")+COUNTIF(B2:G7,"*[U2, M']*")+COUNTIF(B2:G7,"*[M', U2]*")</f>
        <v>0</v>
      </c>
      <c r="I10" s="19">
        <f>COUNTIF(B2:G7,"*[M, D2]*")+COUNTIF(B2:G7,"*[D2, M]*")+COUNTIF(B2:G7,"*[D2, M']*")+COUNTIF(B2:G7,"*[M', D2]*")</f>
        <v>0</v>
      </c>
      <c r="J10" s="19">
        <f>COUNTIF(B2:G7,"*M u2 M u2*")+COUNTIF(B2:G7,"*u2 M' u2 M'*")+COUNTIF(B2:G7,"*M' u2 M' u2*")+COUNTIF(B2:G7,"*u2 M u2 M*")+COUNTIF(B2:G7,"*u' M u2 M u'*")+COUNTIF(B2:G7,"*u M u2 M u*")+COUNTIF(B2:G7,"*u' M' u2 M' u'*")+COUNTIF(B2:G7,"*u M' u2 M' u*")</f>
        <v>0</v>
      </c>
      <c r="K10">
        <f>SUM(D10:J10)</f>
        <v>14</v>
      </c>
      <c r="L10" s="8">
        <v>0.0</v>
      </c>
      <c r="M10">
        <f>COUNTIF(B2:G7,"*E*")</f>
        <v>12</v>
      </c>
      <c r="N10" s="19">
        <f>COUNTIF(B2:G7,"*S*")</f>
        <v>18</v>
      </c>
      <c r="O10" s="19">
        <f>COUNTIF(B2:G7,"*M*")</f>
        <v>0</v>
      </c>
      <c r="P10" s="19">
        <f>N10+O10+M10-B10</f>
        <v>6</v>
      </c>
      <c r="Q10" s="19"/>
    </row>
    <row r="11" ht="16.5" customHeight="1">
      <c r="A11" s="1"/>
      <c r="D11" s="20">
        <f>D10/B10</f>
        <v>0.08333333333</v>
      </c>
      <c r="E11" s="20">
        <f>E10/B10</f>
        <v>0.08333333333</v>
      </c>
      <c r="F11" s="20">
        <f>F10/B10</f>
        <v>0.1666666667</v>
      </c>
      <c r="G11" s="34">
        <f>G10/B10</f>
        <v>0.25</v>
      </c>
      <c r="H11" s="20">
        <f>H10/B10</f>
        <v>0</v>
      </c>
      <c r="I11" s="20">
        <f>I10/B10</f>
        <v>0</v>
      </c>
      <c r="J11" s="20">
        <f>J10/B10</f>
        <v>0</v>
      </c>
      <c r="K11" s="35">
        <f>K10/B10</f>
        <v>0.5833333333</v>
      </c>
      <c r="L11" s="20">
        <f>L10/B10</f>
        <v>0</v>
      </c>
      <c r="M11" s="35">
        <f>M10/B10</f>
        <v>0.5</v>
      </c>
      <c r="N11" s="20">
        <f>N10/B10</f>
        <v>0.75</v>
      </c>
      <c r="O11" s="20">
        <f>O10/B10</f>
        <v>0</v>
      </c>
      <c r="P11" s="20">
        <f>P10/B10</f>
        <v>0.25</v>
      </c>
      <c r="Q11" s="20"/>
    </row>
    <row r="12" ht="16.5" customHeight="1">
      <c r="A12" s="1"/>
    </row>
    <row r="13" ht="16.5" customHeight="1">
      <c r="A13" s="1"/>
    </row>
    <row r="14" ht="16.5" customHeight="1">
      <c r="A14" s="1"/>
    </row>
    <row r="15" ht="16.5" customHeight="1">
      <c r="A15" s="1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1" t="s">
        <v>0</v>
      </c>
      <c r="B1" s="2" t="s">
        <v>11</v>
      </c>
      <c r="C1" s="2" t="s">
        <v>15</v>
      </c>
      <c r="D1" s="2" t="s">
        <v>20</v>
      </c>
      <c r="E1" s="2" t="s">
        <v>22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>
      <c r="A2" s="2" t="s">
        <v>11</v>
      </c>
      <c r="B2" s="4"/>
      <c r="C2" s="8" t="s">
        <v>1679</v>
      </c>
      <c r="D2" s="7"/>
      <c r="E2" s="8" t="s">
        <v>1680</v>
      </c>
      <c r="G2" s="8" t="s">
        <v>1681</v>
      </c>
    </row>
    <row r="3" ht="16.5" customHeight="1">
      <c r="A3" s="2" t="s">
        <v>15</v>
      </c>
      <c r="B3" s="8" t="s">
        <v>1682</v>
      </c>
      <c r="C3" s="4"/>
      <c r="D3" s="8" t="s">
        <v>1683</v>
      </c>
      <c r="E3" s="33"/>
    </row>
    <row r="4" ht="16.5" customHeight="1">
      <c r="A4" s="2" t="s">
        <v>20</v>
      </c>
      <c r="B4" s="7"/>
      <c r="C4" s="8" t="s">
        <v>1684</v>
      </c>
      <c r="D4" s="4"/>
      <c r="E4" s="8" t="s">
        <v>1685</v>
      </c>
      <c r="G4" s="8" t="s">
        <v>25</v>
      </c>
    </row>
    <row r="5" ht="16.5" customHeight="1">
      <c r="A5" s="2" t="s">
        <v>22</v>
      </c>
      <c r="B5" s="8" t="s">
        <v>1686</v>
      </c>
      <c r="C5" s="7"/>
      <c r="D5" s="8" t="s">
        <v>1687</v>
      </c>
      <c r="E5" s="4"/>
      <c r="G5" s="9">
        <v>44798.0</v>
      </c>
    </row>
    <row r="6" ht="16.5" customHeight="1">
      <c r="A6" s="2"/>
      <c r="C6" s="13"/>
      <c r="F6" s="15"/>
    </row>
    <row r="7" ht="16.5" customHeight="1">
      <c r="A7" s="1"/>
      <c r="B7" s="8" t="s">
        <v>1688</v>
      </c>
      <c r="D7" s="17" t="s">
        <v>352</v>
      </c>
      <c r="E7" s="17" t="s">
        <v>353</v>
      </c>
      <c r="F7" s="17" t="s">
        <v>354</v>
      </c>
      <c r="G7" s="17" t="s">
        <v>355</v>
      </c>
      <c r="H7" s="17" t="s">
        <v>356</v>
      </c>
      <c r="I7" s="17" t="s">
        <v>357</v>
      </c>
      <c r="J7" s="17" t="s">
        <v>358</v>
      </c>
      <c r="K7" s="8" t="s">
        <v>359</v>
      </c>
      <c r="L7" s="8" t="s">
        <v>360</v>
      </c>
      <c r="M7" s="8" t="s">
        <v>362</v>
      </c>
      <c r="N7" s="18" t="s">
        <v>361</v>
      </c>
      <c r="O7" s="18" t="s">
        <v>363</v>
      </c>
      <c r="P7" s="18" t="s">
        <v>364</v>
      </c>
      <c r="Q7" s="18"/>
    </row>
    <row r="8" ht="16.5" customHeight="1">
      <c r="A8" s="1"/>
      <c r="B8">
        <f>COUNTA(B2:E5)</f>
        <v>8</v>
      </c>
      <c r="D8" s="19">
        <f>COUNTIF(B2:E5,"*[S, R2]*")+COUNTIF(B2:E5,"*[R2, S]*")+COUNTIF(B2:E5,"*[R2, S']*")+COUNTIF(B2:E5,"*[S', R2]*")</f>
        <v>2</v>
      </c>
      <c r="E8" s="19">
        <f>COUNTIF(B2:E5,"*[S, L2]*")+COUNTIF(B2:E5,"*[L2, S]*")+COUNTIF(B2:E5,"*[L2, S']*")+COUNTIF(B2:E5,"*[S', L2]*")</f>
        <v>0</v>
      </c>
      <c r="F8" s="19">
        <f>COUNTIF(B2:E5,"*[E, L2]*")+COUNTIF(B2:E5,"*[L2, E]*")+COUNTIF(B2:E5,"*[L2, E']*")+COUNTIF(B2:E5,"*[E', L2]*")</f>
        <v>2</v>
      </c>
      <c r="G8" s="19">
        <f>COUNTIF(B2:E5,"*[E, R2]*")+COUNTIF(B2:E5,"*[R2, E]*")+COUNTIF(B2:E5,"*[R2, E']*")+COUNTIF(B2:E5,"*[E', R2]*")</f>
        <v>2</v>
      </c>
      <c r="H8" s="19">
        <f>COUNTIF(B2:E5,"*[M, U2]*")+COUNTIF(B2:E5,"*[U2, M]*")+COUNTIF(B2:E5,"*[U2, M']*")+COUNTIF(B2:E5,"*[M', U2]*")</f>
        <v>0</v>
      </c>
      <c r="I8" s="19">
        <f>COUNTIF(B2:E5,"*[M, D2]*")+COUNTIF(B2:E5,"*[D2, M]*")+COUNTIF(B2:E5,"*[D2, M']*")+COUNTIF(B2:E5,"*[M', D2]*")</f>
        <v>0</v>
      </c>
      <c r="J8" s="19">
        <f>COUNTIF(B2:E5,"*M u2 M u2*")+COUNTIF(B2:E5,"*u2 M' u2 M'*")+COUNTIF(B2:E5,"*M' u2 M' u2*")+COUNTIF(B2:E5,"*u2 M u2 M*")+COUNTIF(B2:E5,"*u' M u2 M u'*")+COUNTIF(B2:E5,"*u M u2 M u*")+COUNTIF(B2:E5,"*u' M' u2 M' u'*")+COUNTIF(B2:E5,"*u M' u2 M' u*")</f>
        <v>0</v>
      </c>
      <c r="K8">
        <f>SUM(D8:J8)</f>
        <v>6</v>
      </c>
      <c r="L8" s="8">
        <v>0.0</v>
      </c>
      <c r="M8">
        <f>COUNTIF(B2:E5,"*E*")</f>
        <v>4</v>
      </c>
      <c r="N8" s="19">
        <f>COUNTIF(B2:E5,"*S*")</f>
        <v>6</v>
      </c>
      <c r="O8" s="19">
        <f>COUNTIF(B2:E5,"*M*")</f>
        <v>0</v>
      </c>
      <c r="P8" s="19">
        <f>N8+O8+M8-B8</f>
        <v>2</v>
      </c>
      <c r="Q8" s="19"/>
    </row>
    <row r="9" ht="16.5" customHeight="1">
      <c r="A9" s="1"/>
      <c r="D9" s="20">
        <f>D8/B8</f>
        <v>0.25</v>
      </c>
      <c r="E9" s="20">
        <f>E8/B8</f>
        <v>0</v>
      </c>
      <c r="F9" s="20">
        <f>F8/B8</f>
        <v>0.25</v>
      </c>
      <c r="G9" s="34">
        <f>G8/B8</f>
        <v>0.25</v>
      </c>
      <c r="H9" s="20">
        <f>H8/B8</f>
        <v>0</v>
      </c>
      <c r="I9" s="20">
        <f>I8/B8</f>
        <v>0</v>
      </c>
      <c r="J9" s="20">
        <f>J8/B8</f>
        <v>0</v>
      </c>
      <c r="K9" s="35">
        <f>K8/B8</f>
        <v>0.75</v>
      </c>
      <c r="L9" s="20">
        <f>L8/B8</f>
        <v>0</v>
      </c>
      <c r="M9" s="35">
        <f>M8/B8</f>
        <v>0.5</v>
      </c>
      <c r="N9" s="20">
        <f>N8/B8</f>
        <v>0.75</v>
      </c>
      <c r="O9" s="20">
        <f>O8/B8</f>
        <v>0</v>
      </c>
      <c r="P9" s="20">
        <f>P8/B8</f>
        <v>0.25</v>
      </c>
      <c r="Q9" s="20"/>
    </row>
    <row r="10" ht="16.5" customHeight="1">
      <c r="A10" s="1"/>
    </row>
    <row r="11" ht="16.5" customHeight="1">
      <c r="A11" s="1"/>
    </row>
    <row r="12" ht="16.5" customHeight="1">
      <c r="A12" s="1"/>
    </row>
    <row r="13" ht="16.5" customHeight="1">
      <c r="A13" s="1"/>
    </row>
    <row r="14" ht="16.5" customHeight="1">
      <c r="A14" s="1"/>
    </row>
    <row r="15" ht="16.5" customHeight="1">
      <c r="A15" s="1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36" t="s">
        <v>0</v>
      </c>
      <c r="B1" s="37" t="s">
        <v>1689</v>
      </c>
      <c r="C1" s="37" t="s">
        <v>1690</v>
      </c>
      <c r="D1" s="37" t="s">
        <v>1691</v>
      </c>
      <c r="E1" s="37" t="s">
        <v>1692</v>
      </c>
      <c r="F1" s="37" t="s">
        <v>1693</v>
      </c>
      <c r="G1" s="37" t="s">
        <v>1694</v>
      </c>
      <c r="H1" s="37" t="s">
        <v>1695</v>
      </c>
      <c r="I1" s="37" t="s">
        <v>1696</v>
      </c>
      <c r="J1" s="37" t="s">
        <v>1697</v>
      </c>
      <c r="K1" s="37" t="s">
        <v>1698</v>
      </c>
      <c r="L1" s="37" t="s">
        <v>1699</v>
      </c>
      <c r="M1" s="37" t="s">
        <v>1700</v>
      </c>
      <c r="N1" s="37" t="s">
        <v>1701</v>
      </c>
      <c r="O1" s="37" t="s">
        <v>1702</v>
      </c>
      <c r="P1" s="37" t="s">
        <v>1703</v>
      </c>
      <c r="Q1" s="37" t="s">
        <v>1704</v>
      </c>
      <c r="R1" s="37" t="s">
        <v>1705</v>
      </c>
      <c r="S1" s="37" t="s">
        <v>1706</v>
      </c>
      <c r="T1" s="37" t="s">
        <v>1707</v>
      </c>
      <c r="U1" s="37" t="s">
        <v>1708</v>
      </c>
      <c r="V1" s="37" t="s">
        <v>1709</v>
      </c>
      <c r="W1" s="1"/>
      <c r="X1" s="1"/>
      <c r="Y1" s="1"/>
      <c r="Z1" s="1"/>
    </row>
    <row r="2" ht="16.5" customHeight="1">
      <c r="A2" s="37" t="s">
        <v>1689</v>
      </c>
      <c r="B2" s="38"/>
      <c r="C2" s="39" t="s">
        <v>1710</v>
      </c>
      <c r="D2" s="39" t="s">
        <v>1711</v>
      </c>
      <c r="E2" s="39" t="s">
        <v>1712</v>
      </c>
      <c r="F2" s="39" t="s">
        <v>1713</v>
      </c>
      <c r="G2" s="39" t="s">
        <v>1714</v>
      </c>
      <c r="H2" s="39" t="s">
        <v>1715</v>
      </c>
      <c r="I2" s="39" t="s">
        <v>1716</v>
      </c>
      <c r="J2" s="39" t="s">
        <v>1717</v>
      </c>
      <c r="K2" s="39" t="s">
        <v>1718</v>
      </c>
      <c r="L2" s="13" t="s">
        <v>1719</v>
      </c>
      <c r="M2" s="39" t="s">
        <v>1720</v>
      </c>
      <c r="N2" s="39" t="s">
        <v>1721</v>
      </c>
      <c r="O2" s="39" t="s">
        <v>1722</v>
      </c>
      <c r="P2" s="40"/>
      <c r="Q2" s="41" t="s">
        <v>1723</v>
      </c>
      <c r="R2" s="41" t="s">
        <v>1724</v>
      </c>
      <c r="S2" s="39" t="s">
        <v>1725</v>
      </c>
      <c r="T2" s="39" t="s">
        <v>1726</v>
      </c>
      <c r="U2" s="39" t="s">
        <v>1727</v>
      </c>
      <c r="V2" s="40"/>
    </row>
    <row r="3" ht="16.5" customHeight="1">
      <c r="A3" s="37" t="s">
        <v>1690</v>
      </c>
      <c r="B3" s="39" t="s">
        <v>1728</v>
      </c>
      <c r="C3" s="40"/>
      <c r="D3" s="41" t="s">
        <v>1729</v>
      </c>
      <c r="E3" s="39" t="s">
        <v>1730</v>
      </c>
      <c r="F3" s="39" t="s">
        <v>1731</v>
      </c>
      <c r="G3" s="39" t="s">
        <v>1732</v>
      </c>
      <c r="H3" s="39" t="s">
        <v>1733</v>
      </c>
      <c r="I3" s="39" t="s">
        <v>1734</v>
      </c>
      <c r="J3" s="39" t="s">
        <v>1735</v>
      </c>
      <c r="K3" s="39" t="s">
        <v>1736</v>
      </c>
      <c r="L3" s="42"/>
      <c r="M3" s="39" t="s">
        <v>1737</v>
      </c>
      <c r="N3" s="39" t="s">
        <v>1738</v>
      </c>
      <c r="O3" s="39" t="s">
        <v>1739</v>
      </c>
      <c r="P3" s="39" t="s">
        <v>1740</v>
      </c>
      <c r="Q3" s="39" t="s">
        <v>1741</v>
      </c>
      <c r="R3" s="39" t="s">
        <v>1742</v>
      </c>
      <c r="S3" s="39" t="s">
        <v>1743</v>
      </c>
      <c r="T3" s="39" t="s">
        <v>1744</v>
      </c>
      <c r="U3" s="40"/>
      <c r="V3" s="13" t="s">
        <v>1745</v>
      </c>
      <c r="X3" s="8" t="s">
        <v>25</v>
      </c>
    </row>
    <row r="4" ht="16.5" customHeight="1">
      <c r="A4" s="37" t="s">
        <v>1691</v>
      </c>
      <c r="B4" s="39" t="s">
        <v>1746</v>
      </c>
      <c r="C4" s="41" t="s">
        <v>1747</v>
      </c>
      <c r="D4" s="40"/>
      <c r="E4" s="40"/>
      <c r="F4" s="39" t="s">
        <v>1748</v>
      </c>
      <c r="G4" s="39" t="s">
        <v>1749</v>
      </c>
      <c r="H4" s="39" t="s">
        <v>1750</v>
      </c>
      <c r="I4" s="39" t="s">
        <v>1751</v>
      </c>
      <c r="J4" s="39" t="s">
        <v>1752</v>
      </c>
      <c r="K4" s="39" t="s">
        <v>1753</v>
      </c>
      <c r="L4" s="39" t="s">
        <v>1754</v>
      </c>
      <c r="M4" s="39" t="s">
        <v>1755</v>
      </c>
      <c r="N4" s="39" t="s">
        <v>1756</v>
      </c>
      <c r="O4" s="39" t="s">
        <v>1757</v>
      </c>
      <c r="P4" s="39" t="s">
        <v>1758</v>
      </c>
      <c r="Q4" s="40"/>
      <c r="R4" s="39" t="s">
        <v>1759</v>
      </c>
      <c r="S4" s="39" t="s">
        <v>1760</v>
      </c>
      <c r="T4" s="39" t="s">
        <v>1761</v>
      </c>
      <c r="U4" s="8" t="s">
        <v>1762</v>
      </c>
      <c r="V4" s="39" t="s">
        <v>1763</v>
      </c>
      <c r="X4" s="9">
        <v>44791.0</v>
      </c>
    </row>
    <row r="5" ht="16.5" customHeight="1">
      <c r="A5" s="37" t="s">
        <v>1692</v>
      </c>
      <c r="B5" s="39" t="s">
        <v>1764</v>
      </c>
      <c r="C5" s="39" t="s">
        <v>1765</v>
      </c>
      <c r="D5" s="40"/>
      <c r="E5" s="40"/>
      <c r="F5" s="8" t="s">
        <v>1766</v>
      </c>
      <c r="G5" s="39" t="s">
        <v>1767</v>
      </c>
      <c r="H5" s="39" t="s">
        <v>1768</v>
      </c>
      <c r="I5" s="8" t="s">
        <v>1769</v>
      </c>
      <c r="J5" s="39" t="s">
        <v>1770</v>
      </c>
      <c r="K5" s="43" t="s">
        <v>1771</v>
      </c>
      <c r="L5" s="44" t="s">
        <v>1772</v>
      </c>
      <c r="M5" s="8" t="s">
        <v>1773</v>
      </c>
      <c r="N5" s="39" t="s">
        <v>1774</v>
      </c>
      <c r="O5" s="39" t="s">
        <v>1775</v>
      </c>
      <c r="P5" s="41" t="s">
        <v>1776</v>
      </c>
      <c r="Q5" s="45"/>
      <c r="R5" s="8" t="s">
        <v>1777</v>
      </c>
      <c r="S5" s="8" t="s">
        <v>1778</v>
      </c>
      <c r="T5" s="39" t="s">
        <v>1779</v>
      </c>
      <c r="U5" s="39" t="s">
        <v>1780</v>
      </c>
      <c r="V5" s="39" t="s">
        <v>1781</v>
      </c>
    </row>
    <row r="6" ht="16.5" customHeight="1">
      <c r="A6" s="37" t="s">
        <v>1693</v>
      </c>
      <c r="B6" s="39" t="s">
        <v>1782</v>
      </c>
      <c r="C6" s="39" t="s">
        <v>1783</v>
      </c>
      <c r="D6" s="39" t="s">
        <v>1784</v>
      </c>
      <c r="E6" s="8" t="s">
        <v>1785</v>
      </c>
      <c r="F6" s="40"/>
      <c r="G6" s="8" t="s">
        <v>1786</v>
      </c>
      <c r="H6" s="8" t="s">
        <v>1787</v>
      </c>
      <c r="I6" s="40"/>
      <c r="J6" s="8" t="s">
        <v>1788</v>
      </c>
      <c r="K6" s="39" t="s">
        <v>1789</v>
      </c>
      <c r="L6" s="39" t="s">
        <v>1790</v>
      </c>
      <c r="M6" s="39" t="s">
        <v>1791</v>
      </c>
      <c r="N6" s="40"/>
      <c r="O6" s="39" t="s">
        <v>1792</v>
      </c>
      <c r="P6" s="39" t="s">
        <v>1793</v>
      </c>
      <c r="Q6" s="39" t="s">
        <v>1794</v>
      </c>
      <c r="R6" s="39" t="s">
        <v>1795</v>
      </c>
      <c r="S6" s="39" t="s">
        <v>1796</v>
      </c>
      <c r="T6" s="39" t="s">
        <v>1797</v>
      </c>
      <c r="U6" s="39" t="s">
        <v>1798</v>
      </c>
      <c r="V6" s="13" t="s">
        <v>1799</v>
      </c>
    </row>
    <row r="7" ht="16.5" customHeight="1">
      <c r="A7" s="37" t="s">
        <v>1694</v>
      </c>
      <c r="B7" s="39" t="s">
        <v>1800</v>
      </c>
      <c r="C7" s="39" t="s">
        <v>1801</v>
      </c>
      <c r="D7" s="39" t="s">
        <v>1802</v>
      </c>
      <c r="E7" s="39" t="s">
        <v>1803</v>
      </c>
      <c r="F7" s="8" t="s">
        <v>1804</v>
      </c>
      <c r="G7" s="40"/>
      <c r="H7" s="40"/>
      <c r="I7" s="8" t="s">
        <v>1805</v>
      </c>
      <c r="J7" s="39" t="s">
        <v>1806</v>
      </c>
      <c r="K7" s="39" t="s">
        <v>1807</v>
      </c>
      <c r="L7" s="39" t="s">
        <v>1808</v>
      </c>
      <c r="M7" s="39" t="s">
        <v>1809</v>
      </c>
      <c r="N7" s="39" t="s">
        <v>1810</v>
      </c>
      <c r="O7" s="39" t="s">
        <v>1811</v>
      </c>
      <c r="P7" s="39" t="s">
        <v>1812</v>
      </c>
      <c r="Q7" s="39" t="s">
        <v>1813</v>
      </c>
      <c r="R7" s="40"/>
      <c r="S7" s="8" t="s">
        <v>1814</v>
      </c>
      <c r="T7" s="39" t="s">
        <v>1815</v>
      </c>
      <c r="U7" s="39" t="s">
        <v>1816</v>
      </c>
      <c r="V7" s="39" t="s">
        <v>1817</v>
      </c>
    </row>
    <row r="8" ht="16.5" customHeight="1">
      <c r="A8" s="37" t="s">
        <v>1695</v>
      </c>
      <c r="B8" s="39" t="s">
        <v>1818</v>
      </c>
      <c r="C8" s="39" t="s">
        <v>1819</v>
      </c>
      <c r="D8" s="39" t="s">
        <v>1820</v>
      </c>
      <c r="E8" s="39" t="s">
        <v>1821</v>
      </c>
      <c r="F8" s="8" t="s">
        <v>1822</v>
      </c>
      <c r="G8" s="40"/>
      <c r="H8" s="40"/>
      <c r="I8" s="8" t="s">
        <v>1823</v>
      </c>
      <c r="J8" s="41" t="s">
        <v>1824</v>
      </c>
      <c r="K8" s="39" t="s">
        <v>1825</v>
      </c>
      <c r="L8" s="39" t="s">
        <v>1826</v>
      </c>
      <c r="M8" s="39" t="s">
        <v>1827</v>
      </c>
      <c r="N8" s="39" t="s">
        <v>1828</v>
      </c>
      <c r="O8" s="8" t="s">
        <v>1829</v>
      </c>
      <c r="P8" s="39" t="s">
        <v>1830</v>
      </c>
      <c r="Q8" s="39" t="s">
        <v>1831</v>
      </c>
      <c r="R8" s="40"/>
      <c r="S8" s="39" t="s">
        <v>1832</v>
      </c>
      <c r="T8" s="39" t="s">
        <v>1833</v>
      </c>
      <c r="U8" s="39" t="s">
        <v>1834</v>
      </c>
      <c r="V8" s="39" t="s">
        <v>1835</v>
      </c>
    </row>
    <row r="9" ht="16.5" customHeight="1">
      <c r="A9" s="37" t="s">
        <v>1696</v>
      </c>
      <c r="B9" s="39" t="s">
        <v>1836</v>
      </c>
      <c r="C9" s="39" t="s">
        <v>1837</v>
      </c>
      <c r="D9" s="39" t="s">
        <v>1838</v>
      </c>
      <c r="E9" s="8" t="s">
        <v>1839</v>
      </c>
      <c r="F9" s="40"/>
      <c r="G9" s="8" t="s">
        <v>1840</v>
      </c>
      <c r="H9" s="8" t="s">
        <v>1841</v>
      </c>
      <c r="I9" s="40"/>
      <c r="J9" s="39" t="s">
        <v>1842</v>
      </c>
      <c r="K9" s="8" t="s">
        <v>1843</v>
      </c>
      <c r="L9" s="8" t="s">
        <v>1844</v>
      </c>
      <c r="M9" s="39" t="s">
        <v>1845</v>
      </c>
      <c r="N9" s="40"/>
      <c r="O9" s="39" t="s">
        <v>1846</v>
      </c>
      <c r="P9" s="39" t="s">
        <v>1847</v>
      </c>
      <c r="Q9" s="39" t="s">
        <v>1848</v>
      </c>
      <c r="R9" s="39" t="s">
        <v>1849</v>
      </c>
      <c r="S9" s="8" t="s">
        <v>1850</v>
      </c>
      <c r="T9" s="39" t="s">
        <v>1851</v>
      </c>
      <c r="U9" s="39" t="s">
        <v>1852</v>
      </c>
      <c r="V9" s="46" t="s">
        <v>1853</v>
      </c>
    </row>
    <row r="10" ht="16.5" customHeight="1">
      <c r="A10" s="37" t="s">
        <v>1697</v>
      </c>
      <c r="B10" s="39" t="s">
        <v>1854</v>
      </c>
      <c r="C10" s="39" t="s">
        <v>1855</v>
      </c>
      <c r="D10" s="39" t="s">
        <v>1856</v>
      </c>
      <c r="E10" s="39" t="s">
        <v>1857</v>
      </c>
      <c r="F10" s="8" t="s">
        <v>1858</v>
      </c>
      <c r="G10" s="39" t="s">
        <v>1859</v>
      </c>
      <c r="H10" s="41" t="s">
        <v>1860</v>
      </c>
      <c r="I10" s="39" t="s">
        <v>1861</v>
      </c>
      <c r="J10" s="40"/>
      <c r="K10" s="8" t="s">
        <v>1862</v>
      </c>
      <c r="L10" s="39" t="s">
        <v>1863</v>
      </c>
      <c r="M10" s="42"/>
      <c r="N10" s="8" t="s">
        <v>1864</v>
      </c>
      <c r="O10" s="8" t="s">
        <v>1865</v>
      </c>
      <c r="P10" s="39" t="s">
        <v>1866</v>
      </c>
      <c r="Q10" s="39" t="s">
        <v>1867</v>
      </c>
      <c r="R10" s="39" t="s">
        <v>1868</v>
      </c>
      <c r="S10" s="13" t="s">
        <v>1869</v>
      </c>
      <c r="T10" s="40"/>
      <c r="U10" s="39" t="s">
        <v>1870</v>
      </c>
      <c r="V10" s="39" t="s">
        <v>1871</v>
      </c>
    </row>
    <row r="11" ht="16.5" customHeight="1">
      <c r="A11" s="37" t="s">
        <v>1698</v>
      </c>
      <c r="B11" s="39" t="s">
        <v>1872</v>
      </c>
      <c r="C11" s="39" t="s">
        <v>1873</v>
      </c>
      <c r="D11" s="39" t="s">
        <v>1874</v>
      </c>
      <c r="E11" s="43" t="s">
        <v>1875</v>
      </c>
      <c r="F11" s="39" t="s">
        <v>1876</v>
      </c>
      <c r="G11" s="39" t="s">
        <v>1877</v>
      </c>
      <c r="H11" s="39" t="s">
        <v>1878</v>
      </c>
      <c r="I11" s="8" t="s">
        <v>1879</v>
      </c>
      <c r="J11" s="8" t="s">
        <v>1880</v>
      </c>
      <c r="K11" s="40"/>
      <c r="L11" s="8" t="s">
        <v>1881</v>
      </c>
      <c r="M11" s="13" t="s">
        <v>1882</v>
      </c>
      <c r="N11" s="39" t="s">
        <v>1883</v>
      </c>
      <c r="O11" s="40"/>
      <c r="P11" s="39" t="s">
        <v>1884</v>
      </c>
      <c r="Q11" s="39" t="s">
        <v>1885</v>
      </c>
      <c r="R11" s="8" t="s">
        <v>1886</v>
      </c>
      <c r="S11" s="47"/>
      <c r="T11" s="39" t="s">
        <v>1887</v>
      </c>
      <c r="U11" s="39" t="s">
        <v>1888</v>
      </c>
      <c r="V11" s="39" t="s">
        <v>1889</v>
      </c>
    </row>
    <row r="12" ht="16.5" customHeight="1">
      <c r="A12" s="37" t="s">
        <v>1699</v>
      </c>
      <c r="B12" s="13" t="s">
        <v>1890</v>
      </c>
      <c r="C12" s="42"/>
      <c r="D12" s="39" t="s">
        <v>1891</v>
      </c>
      <c r="E12" s="44" t="s">
        <v>1892</v>
      </c>
      <c r="F12" s="39" t="s">
        <v>1893</v>
      </c>
      <c r="G12" s="39" t="s">
        <v>1894</v>
      </c>
      <c r="H12" s="39" t="s">
        <v>1895</v>
      </c>
      <c r="I12" s="8" t="s">
        <v>1896</v>
      </c>
      <c r="J12" s="39" t="s">
        <v>1897</v>
      </c>
      <c r="K12" s="8" t="s">
        <v>1898</v>
      </c>
      <c r="L12" s="40"/>
      <c r="M12" s="8" t="s">
        <v>1899</v>
      </c>
      <c r="N12" s="39" t="s">
        <v>1900</v>
      </c>
      <c r="O12" s="39" t="s">
        <v>1901</v>
      </c>
      <c r="P12" s="39" t="s">
        <v>1902</v>
      </c>
      <c r="Q12" s="39" t="s">
        <v>1903</v>
      </c>
      <c r="R12" s="39" t="s">
        <v>1904</v>
      </c>
      <c r="S12" s="39" t="s">
        <v>1905</v>
      </c>
      <c r="T12" s="39" t="s">
        <v>1906</v>
      </c>
      <c r="U12" s="40"/>
      <c r="V12" s="39" t="s">
        <v>1907</v>
      </c>
    </row>
    <row r="13" ht="16.5" customHeight="1">
      <c r="A13" s="37" t="s">
        <v>1700</v>
      </c>
      <c r="B13" s="39" t="s">
        <v>1908</v>
      </c>
      <c r="C13" s="39" t="s">
        <v>1909</v>
      </c>
      <c r="D13" s="39" t="s">
        <v>1910</v>
      </c>
      <c r="E13" s="8" t="s">
        <v>1911</v>
      </c>
      <c r="F13" s="39" t="s">
        <v>1912</v>
      </c>
      <c r="G13" s="39" t="s">
        <v>1913</v>
      </c>
      <c r="H13" s="39" t="s">
        <v>1914</v>
      </c>
      <c r="I13" s="39" t="s">
        <v>1915</v>
      </c>
      <c r="J13" s="42"/>
      <c r="K13" s="13" t="s">
        <v>1916</v>
      </c>
      <c r="L13" s="8" t="s">
        <v>1917</v>
      </c>
      <c r="M13" s="40"/>
      <c r="N13" s="39" t="s">
        <v>1918</v>
      </c>
      <c r="O13" s="39" t="s">
        <v>1919</v>
      </c>
      <c r="P13" s="39" t="s">
        <v>1920</v>
      </c>
      <c r="Q13" s="39" t="s">
        <v>1921</v>
      </c>
      <c r="R13" s="39" t="s">
        <v>1922</v>
      </c>
      <c r="S13" s="39" t="s">
        <v>1923</v>
      </c>
      <c r="T13" s="40"/>
      <c r="U13" s="13" t="s">
        <v>1924</v>
      </c>
      <c r="V13" s="39" t="s">
        <v>1925</v>
      </c>
    </row>
    <row r="14" ht="16.5" customHeight="1">
      <c r="A14" s="37" t="s">
        <v>1701</v>
      </c>
      <c r="B14" s="39" t="s">
        <v>1926</v>
      </c>
      <c r="C14" s="39" t="s">
        <v>1927</v>
      </c>
      <c r="D14" s="39" t="s">
        <v>1928</v>
      </c>
      <c r="E14" s="39" t="s">
        <v>1929</v>
      </c>
      <c r="F14" s="40"/>
      <c r="G14" s="39" t="s">
        <v>1930</v>
      </c>
      <c r="H14" s="39" t="s">
        <v>1931</v>
      </c>
      <c r="I14" s="40"/>
      <c r="J14" s="8" t="s">
        <v>1932</v>
      </c>
      <c r="K14" s="39" t="s">
        <v>1933</v>
      </c>
      <c r="L14" s="39" t="s">
        <v>1934</v>
      </c>
      <c r="M14" s="39" t="s">
        <v>1935</v>
      </c>
      <c r="N14" s="40"/>
      <c r="O14" s="39" t="s">
        <v>1936</v>
      </c>
      <c r="P14" s="39" t="s">
        <v>1937</v>
      </c>
      <c r="Q14" s="39" t="s">
        <v>1938</v>
      </c>
      <c r="R14" s="39" t="s">
        <v>1939</v>
      </c>
      <c r="S14" s="39" t="s">
        <v>1940</v>
      </c>
      <c r="T14" s="39" t="s">
        <v>1941</v>
      </c>
      <c r="U14" s="39" t="s">
        <v>1942</v>
      </c>
      <c r="V14" s="39" t="s">
        <v>1943</v>
      </c>
    </row>
    <row r="15" ht="16.5" customHeight="1">
      <c r="A15" s="37" t="s">
        <v>1702</v>
      </c>
      <c r="B15" s="39" t="s">
        <v>1944</v>
      </c>
      <c r="C15" s="39" t="s">
        <v>1945</v>
      </c>
      <c r="D15" s="39" t="s">
        <v>1946</v>
      </c>
      <c r="E15" s="39" t="s">
        <v>1947</v>
      </c>
      <c r="F15" s="39" t="s">
        <v>1948</v>
      </c>
      <c r="G15" s="39" t="s">
        <v>1949</v>
      </c>
      <c r="H15" s="8" t="s">
        <v>1950</v>
      </c>
      <c r="I15" s="39" t="s">
        <v>1951</v>
      </c>
      <c r="J15" s="8" t="s">
        <v>1952</v>
      </c>
      <c r="K15" s="40"/>
      <c r="L15" s="39" t="s">
        <v>1953</v>
      </c>
      <c r="M15" s="39" t="s">
        <v>1954</v>
      </c>
      <c r="N15" s="39" t="s">
        <v>1955</v>
      </c>
      <c r="O15" s="40"/>
      <c r="P15" s="39" t="s">
        <v>1956</v>
      </c>
      <c r="Q15" s="39" t="s">
        <v>1957</v>
      </c>
      <c r="R15" s="8" t="s">
        <v>1958</v>
      </c>
      <c r="S15" s="40"/>
      <c r="T15" s="39" t="s">
        <v>1959</v>
      </c>
      <c r="U15" s="39" t="s">
        <v>1960</v>
      </c>
      <c r="V15" s="39" t="s">
        <v>1961</v>
      </c>
    </row>
    <row r="16" ht="16.5" customHeight="1">
      <c r="A16" s="37" t="s">
        <v>1703</v>
      </c>
      <c r="B16" s="40"/>
      <c r="C16" s="39" t="s">
        <v>1962</v>
      </c>
      <c r="D16" s="39" t="s">
        <v>1963</v>
      </c>
      <c r="E16" s="41" t="s">
        <v>1964</v>
      </c>
      <c r="F16" s="39" t="s">
        <v>1965</v>
      </c>
      <c r="G16" s="39" t="s">
        <v>1966</v>
      </c>
      <c r="H16" s="39" t="s">
        <v>1967</v>
      </c>
      <c r="I16" s="39" t="s">
        <v>1968</v>
      </c>
      <c r="J16" s="39" t="s">
        <v>1969</v>
      </c>
      <c r="K16" s="39" t="s">
        <v>1970</v>
      </c>
      <c r="L16" s="39" t="s">
        <v>1971</v>
      </c>
      <c r="M16" s="39" t="s">
        <v>1972</v>
      </c>
      <c r="N16" s="39" t="s">
        <v>1973</v>
      </c>
      <c r="O16" s="39" t="s">
        <v>1974</v>
      </c>
      <c r="P16" s="40"/>
      <c r="Q16" s="39" t="s">
        <v>1975</v>
      </c>
      <c r="R16" s="39" t="s">
        <v>1976</v>
      </c>
      <c r="S16" s="39" t="s">
        <v>1977</v>
      </c>
      <c r="T16" s="39" t="s">
        <v>1978</v>
      </c>
      <c r="U16" s="39" t="s">
        <v>1979</v>
      </c>
      <c r="V16" s="40"/>
    </row>
    <row r="17" ht="16.5" customHeight="1">
      <c r="A17" s="37" t="s">
        <v>1704</v>
      </c>
      <c r="B17" s="41" t="s">
        <v>1980</v>
      </c>
      <c r="C17" s="39" t="s">
        <v>1981</v>
      </c>
      <c r="D17" s="40"/>
      <c r="E17" s="47"/>
      <c r="F17" s="39" t="s">
        <v>1982</v>
      </c>
      <c r="G17" s="39" t="s">
        <v>1983</v>
      </c>
      <c r="H17" s="39" t="s">
        <v>1984</v>
      </c>
      <c r="I17" s="39" t="s">
        <v>1985</v>
      </c>
      <c r="J17" s="39" t="s">
        <v>1986</v>
      </c>
      <c r="K17" s="39" t="s">
        <v>1987</v>
      </c>
      <c r="L17" s="39" t="s">
        <v>1988</v>
      </c>
      <c r="M17" s="13" t="s">
        <v>1989</v>
      </c>
      <c r="N17" s="39" t="s">
        <v>1990</v>
      </c>
      <c r="O17" s="39" t="s">
        <v>1991</v>
      </c>
      <c r="P17" s="39" t="s">
        <v>1992</v>
      </c>
      <c r="Q17" s="40"/>
      <c r="R17" s="39" t="s">
        <v>1993</v>
      </c>
      <c r="S17" s="39" t="s">
        <v>1994</v>
      </c>
      <c r="T17" s="39" t="s">
        <v>1995</v>
      </c>
      <c r="U17" s="39" t="s">
        <v>1996</v>
      </c>
      <c r="V17" s="39" t="s">
        <v>1997</v>
      </c>
    </row>
    <row r="18" ht="16.5" customHeight="1">
      <c r="A18" s="37" t="s">
        <v>1705</v>
      </c>
      <c r="B18" s="41" t="s">
        <v>1998</v>
      </c>
      <c r="C18" s="39" t="s">
        <v>1999</v>
      </c>
      <c r="D18" s="39" t="s">
        <v>2000</v>
      </c>
      <c r="E18" s="8" t="s">
        <v>2001</v>
      </c>
      <c r="F18" s="39" t="s">
        <v>2002</v>
      </c>
      <c r="G18" s="40"/>
      <c r="H18" s="40"/>
      <c r="I18" s="39" t="s">
        <v>2003</v>
      </c>
      <c r="J18" s="39" t="s">
        <v>2004</v>
      </c>
      <c r="K18" s="8" t="s">
        <v>2005</v>
      </c>
      <c r="L18" s="39" t="s">
        <v>2006</v>
      </c>
      <c r="M18" s="39" t="s">
        <v>2007</v>
      </c>
      <c r="N18" s="39" t="s">
        <v>2008</v>
      </c>
      <c r="O18" s="8" t="s">
        <v>2009</v>
      </c>
      <c r="P18" s="39" t="s">
        <v>2010</v>
      </c>
      <c r="Q18" s="39" t="s">
        <v>2011</v>
      </c>
      <c r="R18" s="40"/>
      <c r="S18" s="39" t="s">
        <v>2012</v>
      </c>
      <c r="T18" s="39" t="s">
        <v>2013</v>
      </c>
      <c r="U18" s="39" t="s">
        <v>2014</v>
      </c>
      <c r="V18" s="39" t="s">
        <v>2015</v>
      </c>
    </row>
    <row r="19" ht="16.5" customHeight="1">
      <c r="A19" s="37" t="s">
        <v>1706</v>
      </c>
      <c r="B19" s="39" t="s">
        <v>2016</v>
      </c>
      <c r="C19" s="39" t="s">
        <v>2017</v>
      </c>
      <c r="D19" s="39" t="s">
        <v>2018</v>
      </c>
      <c r="E19" s="8" t="s">
        <v>2019</v>
      </c>
      <c r="F19" s="39" t="s">
        <v>2020</v>
      </c>
      <c r="G19" s="8" t="s">
        <v>2021</v>
      </c>
      <c r="H19" s="39" t="s">
        <v>2022</v>
      </c>
      <c r="I19" s="8" t="s">
        <v>2023</v>
      </c>
      <c r="J19" s="13" t="s">
        <v>2024</v>
      </c>
      <c r="K19" s="42"/>
      <c r="L19" s="39" t="s">
        <v>2025</v>
      </c>
      <c r="M19" s="39" t="s">
        <v>2026</v>
      </c>
      <c r="N19" s="39" t="s">
        <v>2027</v>
      </c>
      <c r="O19" s="40"/>
      <c r="P19" s="39" t="s">
        <v>2028</v>
      </c>
      <c r="Q19" s="39" t="s">
        <v>2029</v>
      </c>
      <c r="R19" s="39" t="s">
        <v>2030</v>
      </c>
      <c r="S19" s="40"/>
      <c r="T19" s="8" t="s">
        <v>2031</v>
      </c>
      <c r="U19" s="8" t="s">
        <v>2032</v>
      </c>
      <c r="V19" s="39" t="s">
        <v>2033</v>
      </c>
    </row>
    <row r="20" ht="16.5" customHeight="1">
      <c r="A20" s="37" t="s">
        <v>1707</v>
      </c>
      <c r="B20" s="39" t="s">
        <v>2034</v>
      </c>
      <c r="C20" s="39" t="s">
        <v>2035</v>
      </c>
      <c r="D20" s="39" t="s">
        <v>2036</v>
      </c>
      <c r="E20" s="39" t="s">
        <v>2037</v>
      </c>
      <c r="F20" s="39" t="s">
        <v>2038</v>
      </c>
      <c r="G20" s="39" t="s">
        <v>2039</v>
      </c>
      <c r="H20" s="39" t="s">
        <v>2040</v>
      </c>
      <c r="I20" s="39" t="s">
        <v>2041</v>
      </c>
      <c r="J20" s="40"/>
      <c r="K20" s="39" t="s">
        <v>2042</v>
      </c>
      <c r="L20" s="39" t="s">
        <v>2043</v>
      </c>
      <c r="M20" s="40"/>
      <c r="N20" s="39" t="s">
        <v>2044</v>
      </c>
      <c r="O20" s="39" t="s">
        <v>2045</v>
      </c>
      <c r="P20" s="39" t="s">
        <v>2046</v>
      </c>
      <c r="Q20" s="39" t="s">
        <v>2047</v>
      </c>
      <c r="R20" s="39" t="s">
        <v>2048</v>
      </c>
      <c r="S20" s="8" t="s">
        <v>2049</v>
      </c>
      <c r="T20" s="40"/>
      <c r="U20" s="39" t="s">
        <v>2050</v>
      </c>
      <c r="V20" s="39" t="s">
        <v>2051</v>
      </c>
    </row>
    <row r="21" ht="16.5" customHeight="1">
      <c r="A21" s="37" t="s">
        <v>1708</v>
      </c>
      <c r="B21" s="39" t="s">
        <v>2052</v>
      </c>
      <c r="C21" s="40"/>
      <c r="D21" s="8" t="s">
        <v>2053</v>
      </c>
      <c r="E21" s="39" t="s">
        <v>2054</v>
      </c>
      <c r="F21" s="39" t="s">
        <v>2055</v>
      </c>
      <c r="G21" s="39" t="s">
        <v>2056</v>
      </c>
      <c r="H21" s="39" t="s">
        <v>2057</v>
      </c>
      <c r="I21" s="39" t="s">
        <v>2058</v>
      </c>
      <c r="J21" s="39" t="s">
        <v>2059</v>
      </c>
      <c r="K21" s="39" t="s">
        <v>2060</v>
      </c>
      <c r="L21" s="40"/>
      <c r="M21" s="13" t="s">
        <v>2061</v>
      </c>
      <c r="N21" s="39" t="s">
        <v>2062</v>
      </c>
      <c r="O21" s="39" t="s">
        <v>2063</v>
      </c>
      <c r="P21" s="39" t="s">
        <v>2064</v>
      </c>
      <c r="Q21" s="39" t="s">
        <v>2065</v>
      </c>
      <c r="R21" s="39" t="s">
        <v>2066</v>
      </c>
      <c r="S21" s="8" t="s">
        <v>2067</v>
      </c>
      <c r="T21" s="39" t="s">
        <v>2068</v>
      </c>
      <c r="U21" s="40"/>
      <c r="V21" s="13" t="s">
        <v>2069</v>
      </c>
    </row>
    <row r="22" ht="16.5" customHeight="1">
      <c r="A22" s="37" t="s">
        <v>1709</v>
      </c>
      <c r="B22" s="40"/>
      <c r="C22" s="13" t="s">
        <v>2070</v>
      </c>
      <c r="D22" s="39" t="s">
        <v>2071</v>
      </c>
      <c r="E22" s="39" t="s">
        <v>2072</v>
      </c>
      <c r="F22" s="13" t="s">
        <v>2073</v>
      </c>
      <c r="G22" s="39" t="s">
        <v>2074</v>
      </c>
      <c r="H22" s="39" t="s">
        <v>2075</v>
      </c>
      <c r="I22" s="46" t="s">
        <v>2076</v>
      </c>
      <c r="J22" s="39" t="s">
        <v>2077</v>
      </c>
      <c r="K22" s="39" t="s">
        <v>2078</v>
      </c>
      <c r="L22" s="39" t="s">
        <v>2079</v>
      </c>
      <c r="M22" s="39" t="s">
        <v>2080</v>
      </c>
      <c r="N22" s="39" t="s">
        <v>2081</v>
      </c>
      <c r="O22" s="39" t="s">
        <v>2082</v>
      </c>
      <c r="P22" s="40"/>
      <c r="Q22" s="39" t="s">
        <v>2083</v>
      </c>
      <c r="R22" s="39" t="s">
        <v>2084</v>
      </c>
      <c r="S22" s="39" t="s">
        <v>2085</v>
      </c>
      <c r="T22" s="39" t="s">
        <v>2086</v>
      </c>
      <c r="U22" s="13" t="s">
        <v>2087</v>
      </c>
      <c r="V22" s="40"/>
    </row>
    <row r="23" ht="16.5" customHeight="1">
      <c r="A23" s="1"/>
    </row>
    <row r="24" ht="16.5" customHeight="1">
      <c r="A24" s="2" t="s">
        <v>2088</v>
      </c>
      <c r="B24" s="8" t="s">
        <v>2089</v>
      </c>
      <c r="C24" s="8" t="s">
        <v>2090</v>
      </c>
      <c r="D24" s="8" t="s">
        <v>2091</v>
      </c>
      <c r="E24" s="30" t="s">
        <v>2092</v>
      </c>
      <c r="F24" s="30" t="s">
        <v>2093</v>
      </c>
      <c r="G24" s="30" t="s">
        <v>2094</v>
      </c>
      <c r="H24" s="48" t="s">
        <v>2095</v>
      </c>
      <c r="I24" s="8" t="s">
        <v>2096</v>
      </c>
      <c r="J24" s="8" t="s">
        <v>2097</v>
      </c>
      <c r="K24" s="8" t="s">
        <v>2098</v>
      </c>
      <c r="L24" s="8" t="s">
        <v>2099</v>
      </c>
      <c r="M24" s="8" t="s">
        <v>2100</v>
      </c>
      <c r="N24" s="30" t="s">
        <v>2101</v>
      </c>
      <c r="O24" s="8" t="s">
        <v>2102</v>
      </c>
      <c r="P24" s="8" t="s">
        <v>2103</v>
      </c>
      <c r="Q24" s="8" t="s">
        <v>2104</v>
      </c>
      <c r="R24" s="30" t="s">
        <v>2105</v>
      </c>
      <c r="S24" s="8" t="s">
        <v>2106</v>
      </c>
      <c r="T24" s="30" t="s">
        <v>2107</v>
      </c>
      <c r="U24" s="8" t="s">
        <v>2108</v>
      </c>
      <c r="V24" s="8" t="s">
        <v>2109</v>
      </c>
    </row>
    <row r="25" ht="16.5" customHeight="1">
      <c r="A25" s="1"/>
      <c r="E25" s="30"/>
      <c r="F25" s="16"/>
      <c r="G25" s="30"/>
    </row>
    <row r="26" ht="16.5" customHeight="1">
      <c r="A26" s="1"/>
      <c r="B26" s="8" t="s">
        <v>2110</v>
      </c>
      <c r="D26" s="49"/>
      <c r="E26" s="50"/>
      <c r="F26" s="51"/>
      <c r="G26" s="50"/>
    </row>
    <row r="27" ht="16.5" customHeight="1">
      <c r="A27" s="1"/>
      <c r="B27" s="52">
        <f>COUNTA(B2:V22)</f>
        <v>378</v>
      </c>
      <c r="C27" s="52"/>
      <c r="G27" s="8"/>
    </row>
    <row r="28" ht="16.5" customHeight="1">
      <c r="A28" s="1"/>
      <c r="B28" s="53"/>
      <c r="C28" s="52"/>
      <c r="D28" s="30"/>
    </row>
    <row r="29" ht="16.5" customHeight="1">
      <c r="A29" s="1"/>
      <c r="B29" s="53"/>
      <c r="C29" s="52"/>
      <c r="D29" s="30"/>
      <c r="J29" s="8"/>
      <c r="K29" s="8"/>
      <c r="L29" s="8"/>
      <c r="M29" s="8"/>
      <c r="N29" s="8"/>
      <c r="O29" s="8"/>
      <c r="P29" s="8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3" width="16.71"/>
  </cols>
  <sheetData>
    <row r="1" ht="16.5" customHeight="1">
      <c r="A1" s="36" t="s">
        <v>0</v>
      </c>
      <c r="B1" s="37" t="s">
        <v>1689</v>
      </c>
      <c r="C1" s="37" t="s">
        <v>1690</v>
      </c>
      <c r="D1" s="37" t="s">
        <v>1693</v>
      </c>
      <c r="E1" s="37" t="s">
        <v>1694</v>
      </c>
      <c r="F1" s="37" t="s">
        <v>1695</v>
      </c>
      <c r="G1" s="37" t="s">
        <v>1696</v>
      </c>
      <c r="H1" s="37" t="s">
        <v>1697</v>
      </c>
      <c r="I1" s="37" t="s">
        <v>1698</v>
      </c>
      <c r="J1" s="37" t="s">
        <v>1699</v>
      </c>
      <c r="K1" s="37" t="s">
        <v>1700</v>
      </c>
      <c r="L1" s="37" t="s">
        <v>1701</v>
      </c>
      <c r="M1" s="37" t="s">
        <v>1702</v>
      </c>
      <c r="N1" s="37" t="s">
        <v>1703</v>
      </c>
      <c r="O1" s="37" t="s">
        <v>1705</v>
      </c>
      <c r="P1" s="37" t="s">
        <v>1706</v>
      </c>
      <c r="Q1" s="37" t="s">
        <v>1707</v>
      </c>
      <c r="R1" s="37" t="s">
        <v>1708</v>
      </c>
      <c r="S1" s="37" t="s">
        <v>1709</v>
      </c>
      <c r="T1" s="1"/>
      <c r="U1" s="1"/>
      <c r="V1" s="1"/>
      <c r="W1" s="1"/>
    </row>
    <row r="2" ht="16.5" customHeight="1">
      <c r="A2" s="37" t="s">
        <v>1689</v>
      </c>
      <c r="B2" s="38"/>
      <c r="C2" s="39" t="s">
        <v>2111</v>
      </c>
      <c r="D2" s="39" t="s">
        <v>2112</v>
      </c>
      <c r="E2" s="39" t="s">
        <v>2113</v>
      </c>
      <c r="F2" s="39" t="s">
        <v>2114</v>
      </c>
      <c r="G2" s="39" t="s">
        <v>2115</v>
      </c>
      <c r="H2" s="39" t="s">
        <v>2116</v>
      </c>
      <c r="I2" s="39" t="s">
        <v>2117</v>
      </c>
      <c r="J2" s="13" t="s">
        <v>2118</v>
      </c>
      <c r="K2" s="39" t="s">
        <v>2119</v>
      </c>
      <c r="L2" s="39" t="s">
        <v>2120</v>
      </c>
      <c r="M2" s="39" t="s">
        <v>2121</v>
      </c>
      <c r="N2" s="40"/>
      <c r="O2" s="41" t="s">
        <v>2122</v>
      </c>
      <c r="P2" s="39" t="s">
        <v>2123</v>
      </c>
      <c r="Q2" s="39" t="s">
        <v>2124</v>
      </c>
      <c r="R2" s="39" t="s">
        <v>2125</v>
      </c>
      <c r="S2" s="40"/>
      <c r="U2" s="8" t="s">
        <v>2126</v>
      </c>
    </row>
    <row r="3" ht="16.5" customHeight="1">
      <c r="A3" s="37" t="s">
        <v>1690</v>
      </c>
      <c r="B3" s="39" t="s">
        <v>2127</v>
      </c>
      <c r="C3" s="40"/>
      <c r="D3" s="39" t="s">
        <v>2128</v>
      </c>
      <c r="E3" s="39" t="s">
        <v>2129</v>
      </c>
      <c r="F3" s="39" t="s">
        <v>2130</v>
      </c>
      <c r="G3" s="39" t="s">
        <v>2131</v>
      </c>
      <c r="H3" s="39" t="s">
        <v>2132</v>
      </c>
      <c r="I3" s="39" t="s">
        <v>2133</v>
      </c>
      <c r="J3" s="42"/>
      <c r="K3" s="39" t="s">
        <v>2134</v>
      </c>
      <c r="L3" s="39" t="s">
        <v>2135</v>
      </c>
      <c r="M3" s="39" t="s">
        <v>2136</v>
      </c>
      <c r="N3" s="39" t="s">
        <v>2137</v>
      </c>
      <c r="O3" s="39" t="s">
        <v>2138</v>
      </c>
      <c r="P3" s="39" t="s">
        <v>2139</v>
      </c>
      <c r="Q3" s="39" t="s">
        <v>2140</v>
      </c>
      <c r="R3" s="40"/>
      <c r="S3" s="13" t="s">
        <v>2141</v>
      </c>
    </row>
    <row r="4" ht="16.5" customHeight="1">
      <c r="A4" s="37" t="s">
        <v>1693</v>
      </c>
      <c r="B4" s="39" t="s">
        <v>2142</v>
      </c>
      <c r="C4" s="39" t="s">
        <v>2143</v>
      </c>
      <c r="D4" s="40"/>
      <c r="E4" s="8" t="s">
        <v>2144</v>
      </c>
      <c r="F4" s="8" t="s">
        <v>2145</v>
      </c>
      <c r="G4" s="40"/>
      <c r="H4" s="8" t="s">
        <v>2146</v>
      </c>
      <c r="I4" s="39" t="s">
        <v>2147</v>
      </c>
      <c r="J4" s="39" t="s">
        <v>2148</v>
      </c>
      <c r="K4" s="39" t="s">
        <v>2149</v>
      </c>
      <c r="L4" s="40"/>
      <c r="M4" s="39" t="s">
        <v>2150</v>
      </c>
      <c r="N4" s="39" t="s">
        <v>2151</v>
      </c>
      <c r="O4" s="39" t="s">
        <v>2152</v>
      </c>
      <c r="P4" s="39" t="s">
        <v>2153</v>
      </c>
      <c r="Q4" s="39" t="s">
        <v>2154</v>
      </c>
      <c r="R4" s="39" t="s">
        <v>2155</v>
      </c>
      <c r="S4" s="13" t="s">
        <v>2156</v>
      </c>
      <c r="U4" s="8" t="s">
        <v>25</v>
      </c>
    </row>
    <row r="5" ht="16.5" customHeight="1">
      <c r="A5" s="37" t="s">
        <v>1694</v>
      </c>
      <c r="B5" s="39" t="s">
        <v>2157</v>
      </c>
      <c r="C5" s="39" t="s">
        <v>2158</v>
      </c>
      <c r="D5" s="8" t="s">
        <v>2159</v>
      </c>
      <c r="E5" s="40"/>
      <c r="F5" s="40"/>
      <c r="G5" s="8" t="s">
        <v>2160</v>
      </c>
      <c r="H5" s="39" t="s">
        <v>2161</v>
      </c>
      <c r="I5" s="39" t="s">
        <v>2162</v>
      </c>
      <c r="J5" s="39" t="s">
        <v>2163</v>
      </c>
      <c r="K5" s="39" t="s">
        <v>2164</v>
      </c>
      <c r="L5" s="39" t="s">
        <v>2165</v>
      </c>
      <c r="M5" s="39" t="s">
        <v>2166</v>
      </c>
      <c r="N5" s="39" t="s">
        <v>2167</v>
      </c>
      <c r="O5" s="40"/>
      <c r="P5" s="8" t="s">
        <v>2168</v>
      </c>
      <c r="Q5" s="39" t="s">
        <v>2169</v>
      </c>
      <c r="R5" s="39" t="s">
        <v>2170</v>
      </c>
      <c r="S5" s="39" t="s">
        <v>2171</v>
      </c>
      <c r="U5" s="9">
        <v>44802.0</v>
      </c>
    </row>
    <row r="6" ht="16.5" customHeight="1">
      <c r="A6" s="37" t="s">
        <v>1695</v>
      </c>
      <c r="B6" s="39" t="s">
        <v>2172</v>
      </c>
      <c r="C6" s="39" t="s">
        <v>2173</v>
      </c>
      <c r="D6" s="8" t="s">
        <v>2174</v>
      </c>
      <c r="E6" s="40"/>
      <c r="F6" s="40"/>
      <c r="G6" s="54" t="s">
        <v>2175</v>
      </c>
      <c r="H6" s="41" t="s">
        <v>2176</v>
      </c>
      <c r="I6" s="8" t="s">
        <v>2177</v>
      </c>
      <c r="J6" s="39" t="s">
        <v>2178</v>
      </c>
      <c r="K6" s="39" t="s">
        <v>2179</v>
      </c>
      <c r="L6" s="39" t="s">
        <v>2180</v>
      </c>
      <c r="M6" s="8" t="s">
        <v>2181</v>
      </c>
      <c r="N6" s="39" t="s">
        <v>2182</v>
      </c>
      <c r="O6" s="40"/>
      <c r="P6" s="39" t="s">
        <v>2183</v>
      </c>
      <c r="Q6" s="39" t="s">
        <v>2184</v>
      </c>
      <c r="R6" s="39" t="s">
        <v>2185</v>
      </c>
      <c r="S6" s="39" t="s">
        <v>2186</v>
      </c>
    </row>
    <row r="7" ht="16.5" customHeight="1">
      <c r="A7" s="37" t="s">
        <v>1696</v>
      </c>
      <c r="B7" s="39" t="s">
        <v>2187</v>
      </c>
      <c r="C7" s="39" t="s">
        <v>2188</v>
      </c>
      <c r="D7" s="40"/>
      <c r="E7" s="8" t="s">
        <v>2189</v>
      </c>
      <c r="F7" s="54" t="s">
        <v>2190</v>
      </c>
      <c r="G7" s="40"/>
      <c r="H7" s="39" t="s">
        <v>2191</v>
      </c>
      <c r="I7" s="8" t="s">
        <v>2192</v>
      </c>
      <c r="J7" s="8" t="s">
        <v>2193</v>
      </c>
      <c r="K7" s="8" t="s">
        <v>2194</v>
      </c>
      <c r="L7" s="40"/>
      <c r="M7" s="39" t="s">
        <v>2195</v>
      </c>
      <c r="N7" s="39" t="s">
        <v>2196</v>
      </c>
      <c r="O7" s="39" t="s">
        <v>2197</v>
      </c>
      <c r="P7" s="8" t="s">
        <v>2198</v>
      </c>
      <c r="Q7" s="39" t="s">
        <v>2199</v>
      </c>
      <c r="R7" s="39" t="s">
        <v>2200</v>
      </c>
      <c r="S7" s="46" t="s">
        <v>2201</v>
      </c>
    </row>
    <row r="8" ht="16.5" customHeight="1">
      <c r="A8" s="37" t="s">
        <v>1697</v>
      </c>
      <c r="B8" s="39" t="s">
        <v>2202</v>
      </c>
      <c r="C8" s="39" t="s">
        <v>2203</v>
      </c>
      <c r="D8" s="8" t="s">
        <v>2204</v>
      </c>
      <c r="E8" s="39" t="s">
        <v>2205</v>
      </c>
      <c r="F8" s="41" t="s">
        <v>2206</v>
      </c>
      <c r="G8" s="39" t="s">
        <v>2207</v>
      </c>
      <c r="H8" s="40"/>
      <c r="I8" s="8" t="s">
        <v>2208</v>
      </c>
      <c r="J8" s="39" t="s">
        <v>2209</v>
      </c>
      <c r="K8" s="42"/>
      <c r="L8" s="8" t="s">
        <v>2210</v>
      </c>
      <c r="M8" s="8" t="s">
        <v>2211</v>
      </c>
      <c r="N8" s="39" t="s">
        <v>2212</v>
      </c>
      <c r="O8" s="39" t="s">
        <v>2213</v>
      </c>
      <c r="P8" s="13" t="s">
        <v>2214</v>
      </c>
      <c r="Q8" s="40"/>
      <c r="R8" s="39" t="s">
        <v>2215</v>
      </c>
      <c r="S8" s="39" t="s">
        <v>2216</v>
      </c>
    </row>
    <row r="9" ht="16.5" customHeight="1">
      <c r="A9" s="37" t="s">
        <v>1698</v>
      </c>
      <c r="B9" s="39" t="s">
        <v>2217</v>
      </c>
      <c r="C9" s="39" t="s">
        <v>2218</v>
      </c>
      <c r="D9" s="39" t="s">
        <v>2219</v>
      </c>
      <c r="E9" s="39" t="s">
        <v>2220</v>
      </c>
      <c r="F9" s="8" t="s">
        <v>2221</v>
      </c>
      <c r="G9" s="8" t="s">
        <v>2222</v>
      </c>
      <c r="H9" s="8" t="s">
        <v>2223</v>
      </c>
      <c r="I9" s="40"/>
      <c r="J9" s="8" t="s">
        <v>2224</v>
      </c>
      <c r="K9" s="13" t="s">
        <v>2225</v>
      </c>
      <c r="L9" s="39" t="s">
        <v>2226</v>
      </c>
      <c r="M9" s="40"/>
      <c r="N9" s="39" t="s">
        <v>2227</v>
      </c>
      <c r="O9" s="54" t="s">
        <v>2228</v>
      </c>
      <c r="P9" s="47"/>
      <c r="Q9" s="39" t="s">
        <v>2229</v>
      </c>
      <c r="R9" s="39" t="s">
        <v>2230</v>
      </c>
      <c r="S9" s="39" t="s">
        <v>2231</v>
      </c>
    </row>
    <row r="10" ht="16.5" customHeight="1">
      <c r="A10" s="37" t="s">
        <v>1699</v>
      </c>
      <c r="B10" s="13" t="s">
        <v>2232</v>
      </c>
      <c r="C10" s="42"/>
      <c r="D10" s="39" t="s">
        <v>2233</v>
      </c>
      <c r="E10" s="39" t="s">
        <v>2234</v>
      </c>
      <c r="F10" s="39" t="s">
        <v>2235</v>
      </c>
      <c r="G10" s="8" t="s">
        <v>2236</v>
      </c>
      <c r="H10" s="39" t="s">
        <v>2237</v>
      </c>
      <c r="I10" s="8" t="s">
        <v>2238</v>
      </c>
      <c r="J10" s="40"/>
      <c r="K10" s="8" t="s">
        <v>2239</v>
      </c>
      <c r="L10" s="39" t="s">
        <v>2240</v>
      </c>
      <c r="M10" s="39" t="s">
        <v>2241</v>
      </c>
      <c r="N10" s="39" t="s">
        <v>2242</v>
      </c>
      <c r="O10" s="39" t="s">
        <v>2243</v>
      </c>
      <c r="P10" s="39" t="s">
        <v>2244</v>
      </c>
      <c r="Q10" s="39" t="s">
        <v>2245</v>
      </c>
      <c r="R10" s="40"/>
      <c r="S10" s="39" t="s">
        <v>2246</v>
      </c>
    </row>
    <row r="11" ht="16.5" customHeight="1">
      <c r="A11" s="37" t="s">
        <v>1700</v>
      </c>
      <c r="B11" s="39" t="s">
        <v>2247</v>
      </c>
      <c r="C11" s="39" t="s">
        <v>2248</v>
      </c>
      <c r="D11" s="39" t="s">
        <v>2249</v>
      </c>
      <c r="E11" s="39" t="s">
        <v>2250</v>
      </c>
      <c r="F11" s="39" t="s">
        <v>2251</v>
      </c>
      <c r="G11" s="8" t="s">
        <v>2252</v>
      </c>
      <c r="H11" s="42"/>
      <c r="I11" s="13" t="s">
        <v>2253</v>
      </c>
      <c r="J11" s="8" t="s">
        <v>2254</v>
      </c>
      <c r="K11" s="40"/>
      <c r="L11" s="39" t="s">
        <v>2255</v>
      </c>
      <c r="M11" s="39" t="s">
        <v>2256</v>
      </c>
      <c r="N11" s="39" t="s">
        <v>2257</v>
      </c>
      <c r="O11" s="39" t="s">
        <v>2258</v>
      </c>
      <c r="P11" s="39" t="s">
        <v>2259</v>
      </c>
      <c r="Q11" s="40"/>
      <c r="R11" s="13" t="s">
        <v>2260</v>
      </c>
      <c r="S11" s="39" t="s">
        <v>2261</v>
      </c>
    </row>
    <row r="12" ht="16.5" customHeight="1">
      <c r="A12" s="37" t="s">
        <v>1701</v>
      </c>
      <c r="B12" s="39" t="s">
        <v>2262</v>
      </c>
      <c r="C12" s="39" t="s">
        <v>2263</v>
      </c>
      <c r="D12" s="40"/>
      <c r="E12" s="39" t="s">
        <v>2264</v>
      </c>
      <c r="F12" s="39" t="s">
        <v>2265</v>
      </c>
      <c r="G12" s="40"/>
      <c r="H12" s="8" t="s">
        <v>2266</v>
      </c>
      <c r="I12" s="39" t="s">
        <v>2267</v>
      </c>
      <c r="J12" s="39" t="s">
        <v>2268</v>
      </c>
      <c r="K12" s="39" t="s">
        <v>2269</v>
      </c>
      <c r="L12" s="40"/>
      <c r="M12" s="39" t="s">
        <v>2270</v>
      </c>
      <c r="N12" s="39" t="s">
        <v>2271</v>
      </c>
      <c r="O12" s="39" t="s">
        <v>2272</v>
      </c>
      <c r="P12" s="39" t="s">
        <v>2273</v>
      </c>
      <c r="Q12" s="39" t="s">
        <v>2274</v>
      </c>
      <c r="R12" s="39" t="s">
        <v>2275</v>
      </c>
      <c r="S12" s="39" t="s">
        <v>2276</v>
      </c>
    </row>
    <row r="13" ht="16.5" customHeight="1">
      <c r="A13" s="37" t="s">
        <v>1702</v>
      </c>
      <c r="B13" s="39" t="s">
        <v>2277</v>
      </c>
      <c r="C13" s="39" t="s">
        <v>2278</v>
      </c>
      <c r="D13" s="39" t="s">
        <v>2279</v>
      </c>
      <c r="E13" s="39" t="s">
        <v>2280</v>
      </c>
      <c r="F13" s="8" t="s">
        <v>2281</v>
      </c>
      <c r="G13" s="39" t="s">
        <v>2282</v>
      </c>
      <c r="H13" s="8" t="s">
        <v>2283</v>
      </c>
      <c r="I13" s="40"/>
      <c r="J13" s="39" t="s">
        <v>2284</v>
      </c>
      <c r="K13" s="39" t="s">
        <v>2285</v>
      </c>
      <c r="L13" s="39" t="s">
        <v>2286</v>
      </c>
      <c r="M13" s="40"/>
      <c r="N13" s="39" t="s">
        <v>2287</v>
      </c>
      <c r="O13" s="8" t="s">
        <v>2288</v>
      </c>
      <c r="P13" s="40"/>
      <c r="Q13" s="39" t="s">
        <v>2289</v>
      </c>
      <c r="R13" s="39" t="s">
        <v>2290</v>
      </c>
      <c r="S13" s="39" t="s">
        <v>2291</v>
      </c>
    </row>
    <row r="14" ht="16.5" customHeight="1">
      <c r="A14" s="37" t="s">
        <v>1703</v>
      </c>
      <c r="B14" s="40"/>
      <c r="C14" s="39" t="s">
        <v>2292</v>
      </c>
      <c r="D14" s="39" t="s">
        <v>2293</v>
      </c>
      <c r="E14" s="39" t="s">
        <v>2294</v>
      </c>
      <c r="F14" s="39" t="s">
        <v>2295</v>
      </c>
      <c r="G14" s="39" t="s">
        <v>2296</v>
      </c>
      <c r="H14" s="39" t="s">
        <v>2297</v>
      </c>
      <c r="I14" s="39" t="s">
        <v>2298</v>
      </c>
      <c r="J14" s="39" t="s">
        <v>2299</v>
      </c>
      <c r="K14" s="39" t="s">
        <v>2300</v>
      </c>
      <c r="L14" s="39" t="s">
        <v>2301</v>
      </c>
      <c r="M14" s="39" t="s">
        <v>2302</v>
      </c>
      <c r="N14" s="40"/>
      <c r="O14" s="39" t="s">
        <v>2303</v>
      </c>
      <c r="P14" s="39" t="s">
        <v>2304</v>
      </c>
      <c r="Q14" s="39" t="s">
        <v>2305</v>
      </c>
      <c r="R14" s="39" t="s">
        <v>2306</v>
      </c>
      <c r="S14" s="40"/>
    </row>
    <row r="15" ht="16.5" customHeight="1">
      <c r="A15" s="37" t="s">
        <v>1705</v>
      </c>
      <c r="B15" s="41" t="s">
        <v>2307</v>
      </c>
      <c r="C15" s="39" t="s">
        <v>2308</v>
      </c>
      <c r="D15" s="39" t="s">
        <v>2309</v>
      </c>
      <c r="E15" s="40"/>
      <c r="F15" s="40"/>
      <c r="G15" s="39" t="s">
        <v>2310</v>
      </c>
      <c r="H15" s="39" t="s">
        <v>2311</v>
      </c>
      <c r="I15" s="54" t="s">
        <v>2312</v>
      </c>
      <c r="J15" s="39" t="s">
        <v>2313</v>
      </c>
      <c r="K15" s="39" t="s">
        <v>2314</v>
      </c>
      <c r="L15" s="39" t="s">
        <v>2315</v>
      </c>
      <c r="M15" s="8" t="s">
        <v>2316</v>
      </c>
      <c r="N15" s="39" t="s">
        <v>2317</v>
      </c>
      <c r="O15" s="40"/>
      <c r="P15" s="39" t="s">
        <v>2318</v>
      </c>
      <c r="Q15" s="39" t="s">
        <v>2319</v>
      </c>
      <c r="R15" s="39" t="s">
        <v>2320</v>
      </c>
      <c r="S15" s="39" t="s">
        <v>2321</v>
      </c>
    </row>
    <row r="16" ht="16.5" customHeight="1">
      <c r="A16" s="37" t="s">
        <v>1706</v>
      </c>
      <c r="B16" s="39" t="s">
        <v>2322</v>
      </c>
      <c r="C16" s="39" t="s">
        <v>2323</v>
      </c>
      <c r="D16" s="39" t="s">
        <v>2324</v>
      </c>
      <c r="E16" s="8" t="s">
        <v>2325</v>
      </c>
      <c r="F16" s="39" t="s">
        <v>2326</v>
      </c>
      <c r="G16" s="8" t="s">
        <v>2327</v>
      </c>
      <c r="H16" s="13" t="s">
        <v>2328</v>
      </c>
      <c r="I16" s="42"/>
      <c r="J16" s="39" t="s">
        <v>2329</v>
      </c>
      <c r="K16" s="39" t="s">
        <v>2330</v>
      </c>
      <c r="L16" s="39" t="s">
        <v>2331</v>
      </c>
      <c r="M16" s="40"/>
      <c r="N16" s="39" t="s">
        <v>2332</v>
      </c>
      <c r="O16" s="39" t="s">
        <v>2333</v>
      </c>
      <c r="P16" s="40"/>
      <c r="Q16" s="8" t="s">
        <v>2334</v>
      </c>
      <c r="R16" s="8" t="s">
        <v>2335</v>
      </c>
      <c r="S16" s="39" t="s">
        <v>2336</v>
      </c>
    </row>
    <row r="17" ht="16.5" customHeight="1">
      <c r="A17" s="37" t="s">
        <v>1707</v>
      </c>
      <c r="B17" s="39" t="s">
        <v>2337</v>
      </c>
      <c r="C17" s="39" t="s">
        <v>2338</v>
      </c>
      <c r="D17" s="39" t="s">
        <v>2339</v>
      </c>
      <c r="E17" s="39" t="s">
        <v>2340</v>
      </c>
      <c r="F17" s="39" t="s">
        <v>2341</v>
      </c>
      <c r="G17" s="39" t="s">
        <v>2342</v>
      </c>
      <c r="H17" s="40"/>
      <c r="I17" s="39" t="s">
        <v>2343</v>
      </c>
      <c r="J17" s="39" t="s">
        <v>2344</v>
      </c>
      <c r="K17" s="40"/>
      <c r="L17" s="39" t="s">
        <v>2345</v>
      </c>
      <c r="M17" s="39" t="s">
        <v>2346</v>
      </c>
      <c r="N17" s="39" t="s">
        <v>2347</v>
      </c>
      <c r="O17" s="39" t="s">
        <v>2348</v>
      </c>
      <c r="P17" s="8" t="s">
        <v>2349</v>
      </c>
      <c r="Q17" s="40"/>
      <c r="R17" s="39" t="s">
        <v>2350</v>
      </c>
      <c r="S17" s="39" t="s">
        <v>2351</v>
      </c>
    </row>
    <row r="18" ht="16.5" customHeight="1">
      <c r="A18" s="37" t="s">
        <v>1708</v>
      </c>
      <c r="B18" s="39" t="s">
        <v>2352</v>
      </c>
      <c r="C18" s="40"/>
      <c r="D18" s="39" t="s">
        <v>2353</v>
      </c>
      <c r="E18" s="39" t="s">
        <v>2354</v>
      </c>
      <c r="F18" s="39" t="s">
        <v>2355</v>
      </c>
      <c r="G18" s="39" t="s">
        <v>2356</v>
      </c>
      <c r="H18" s="39" t="s">
        <v>2357</v>
      </c>
      <c r="I18" s="39" t="s">
        <v>2358</v>
      </c>
      <c r="J18" s="40"/>
      <c r="K18" s="13" t="s">
        <v>2359</v>
      </c>
      <c r="L18" s="39" t="s">
        <v>2360</v>
      </c>
      <c r="M18" s="39" t="s">
        <v>2361</v>
      </c>
      <c r="N18" s="39" t="s">
        <v>2362</v>
      </c>
      <c r="O18" s="39" t="s">
        <v>2363</v>
      </c>
      <c r="P18" s="8" t="s">
        <v>2364</v>
      </c>
      <c r="Q18" s="39" t="s">
        <v>2365</v>
      </c>
      <c r="R18" s="40"/>
      <c r="S18" s="13" t="s">
        <v>2366</v>
      </c>
    </row>
    <row r="19" ht="16.5" customHeight="1">
      <c r="A19" s="37" t="s">
        <v>1709</v>
      </c>
      <c r="B19" s="40"/>
      <c r="C19" s="13" t="s">
        <v>2367</v>
      </c>
      <c r="D19" s="13" t="s">
        <v>2368</v>
      </c>
      <c r="E19" s="39" t="s">
        <v>2369</v>
      </c>
      <c r="F19" s="39" t="s">
        <v>2370</v>
      </c>
      <c r="G19" s="46" t="s">
        <v>2371</v>
      </c>
      <c r="H19" s="39" t="s">
        <v>2372</v>
      </c>
      <c r="I19" s="39" t="s">
        <v>2373</v>
      </c>
      <c r="J19" s="39" t="s">
        <v>2374</v>
      </c>
      <c r="K19" s="39" t="s">
        <v>2375</v>
      </c>
      <c r="L19" s="39" t="s">
        <v>2376</v>
      </c>
      <c r="M19" s="39" t="s">
        <v>2377</v>
      </c>
      <c r="N19" s="40"/>
      <c r="O19" s="39" t="s">
        <v>2378</v>
      </c>
      <c r="P19" s="39" t="s">
        <v>2379</v>
      </c>
      <c r="Q19" s="39" t="s">
        <v>2380</v>
      </c>
      <c r="R19" s="13" t="s">
        <v>2381</v>
      </c>
      <c r="S19" s="40"/>
    </row>
    <row r="20" ht="16.5" customHeight="1">
      <c r="A20" s="1"/>
    </row>
    <row r="21" ht="16.5" customHeight="1">
      <c r="A21" s="2" t="s">
        <v>2088</v>
      </c>
      <c r="B21" s="8" t="s">
        <v>2382</v>
      </c>
      <c r="C21" s="8" t="s">
        <v>2383</v>
      </c>
      <c r="D21" s="30" t="s">
        <v>2384</v>
      </c>
      <c r="E21" s="30" t="s">
        <v>2385</v>
      </c>
      <c r="F21" s="12" t="s">
        <v>2386</v>
      </c>
      <c r="G21" s="12" t="s">
        <v>2387</v>
      </c>
      <c r="H21" s="8" t="s">
        <v>2388</v>
      </c>
      <c r="I21" s="8" t="s">
        <v>2389</v>
      </c>
      <c r="J21" s="8" t="s">
        <v>2390</v>
      </c>
      <c r="K21" s="8" t="s">
        <v>2391</v>
      </c>
      <c r="L21" s="30" t="s">
        <v>2392</v>
      </c>
      <c r="M21" s="8" t="s">
        <v>2393</v>
      </c>
      <c r="N21" s="8" t="s">
        <v>2394</v>
      </c>
      <c r="O21" s="30" t="s">
        <v>2395</v>
      </c>
      <c r="P21" s="8" t="s">
        <v>2396</v>
      </c>
      <c r="Q21" s="30" t="s">
        <v>2397</v>
      </c>
      <c r="R21" t="s">
        <v>2398</v>
      </c>
      <c r="S21" s="8" t="s">
        <v>2399</v>
      </c>
    </row>
    <row r="22" ht="16.5" customHeight="1">
      <c r="A22" s="1"/>
      <c r="D22" s="16"/>
      <c r="E22" s="30"/>
    </row>
    <row r="23" ht="16.5" customHeight="1">
      <c r="A23" s="1"/>
      <c r="B23" s="8" t="s">
        <v>2400</v>
      </c>
      <c r="D23" s="51"/>
      <c r="E23" s="50"/>
    </row>
    <row r="24" ht="16.5" customHeight="1">
      <c r="A24" s="1"/>
      <c r="B24" s="52">
        <f>COUNTA(B2:S19)</f>
        <v>270</v>
      </c>
      <c r="C24" s="52"/>
      <c r="E24" s="8"/>
    </row>
    <row r="25" ht="16.5" customHeight="1">
      <c r="A25" s="1"/>
      <c r="B25" s="53"/>
      <c r="C25" s="52"/>
    </row>
    <row r="26" ht="16.5" customHeight="1">
      <c r="A26" s="1"/>
      <c r="B26" s="53"/>
      <c r="C26" s="52"/>
      <c r="H26" s="8"/>
      <c r="I26" s="8"/>
      <c r="J26" s="8"/>
      <c r="K26" s="8"/>
      <c r="L26" s="8"/>
      <c r="M26" s="8"/>
      <c r="N26" s="8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0" width="16.71"/>
  </cols>
  <sheetData>
    <row r="1" ht="16.5" customHeight="1">
      <c r="A1" s="36" t="s">
        <v>0</v>
      </c>
      <c r="B1" s="37" t="s">
        <v>1689</v>
      </c>
      <c r="C1" s="37" t="s">
        <v>1693</v>
      </c>
      <c r="D1" s="37" t="s">
        <v>1694</v>
      </c>
      <c r="E1" s="37" t="s">
        <v>1695</v>
      </c>
      <c r="F1" s="37" t="s">
        <v>1696</v>
      </c>
      <c r="G1" s="37" t="s">
        <v>1697</v>
      </c>
      <c r="H1" s="37" t="s">
        <v>1698</v>
      </c>
      <c r="I1" s="37" t="s">
        <v>1700</v>
      </c>
      <c r="J1" s="37" t="s">
        <v>1701</v>
      </c>
      <c r="K1" s="37" t="s">
        <v>1702</v>
      </c>
      <c r="L1" s="37" t="s">
        <v>1703</v>
      </c>
      <c r="M1" s="37" t="s">
        <v>1705</v>
      </c>
      <c r="N1" s="37" t="s">
        <v>1706</v>
      </c>
      <c r="O1" s="37" t="s">
        <v>1707</v>
      </c>
      <c r="P1" s="37" t="s">
        <v>1709</v>
      </c>
      <c r="Q1" s="1"/>
      <c r="R1" s="1"/>
      <c r="S1" s="1"/>
      <c r="T1" s="1"/>
    </row>
    <row r="2" ht="16.5" customHeight="1">
      <c r="A2" s="37" t="s">
        <v>1689</v>
      </c>
      <c r="B2" s="38"/>
      <c r="C2" s="39" t="s">
        <v>2401</v>
      </c>
      <c r="D2" s="39" t="s">
        <v>2402</v>
      </c>
      <c r="E2" s="39" t="s">
        <v>2403</v>
      </c>
      <c r="F2" s="39" t="s">
        <v>2404</v>
      </c>
      <c r="G2" s="39" t="s">
        <v>2405</v>
      </c>
      <c r="H2" s="39" t="s">
        <v>2406</v>
      </c>
      <c r="I2" s="39" t="s">
        <v>2407</v>
      </c>
      <c r="J2" s="39" t="s">
        <v>2408</v>
      </c>
      <c r="K2" s="39" t="s">
        <v>2409</v>
      </c>
      <c r="L2" s="40"/>
      <c r="M2" s="41" t="s">
        <v>2410</v>
      </c>
      <c r="N2" s="39" t="s">
        <v>2411</v>
      </c>
      <c r="O2" s="39" t="s">
        <v>2412</v>
      </c>
      <c r="P2" s="40"/>
      <c r="R2" s="8" t="s">
        <v>2413</v>
      </c>
    </row>
    <row r="3" ht="16.5" customHeight="1">
      <c r="A3" s="37" t="s">
        <v>1693</v>
      </c>
      <c r="B3" s="39" t="s">
        <v>2414</v>
      </c>
      <c r="C3" s="40"/>
      <c r="D3" s="8" t="s">
        <v>2415</v>
      </c>
      <c r="E3" s="8" t="s">
        <v>2416</v>
      </c>
      <c r="F3" s="40"/>
      <c r="G3" s="8" t="s">
        <v>2417</v>
      </c>
      <c r="H3" s="39" t="s">
        <v>2418</v>
      </c>
      <c r="I3" s="39" t="s">
        <v>2419</v>
      </c>
      <c r="J3" s="40"/>
      <c r="K3" s="39" t="s">
        <v>2420</v>
      </c>
      <c r="L3" s="39" t="s">
        <v>2421</v>
      </c>
      <c r="M3" s="39" t="s">
        <v>2422</v>
      </c>
      <c r="N3" s="39" t="s">
        <v>2423</v>
      </c>
      <c r="O3" s="39" t="s">
        <v>2424</v>
      </c>
      <c r="P3" s="13" t="s">
        <v>2425</v>
      </c>
    </row>
    <row r="4" ht="16.5" customHeight="1">
      <c r="A4" s="37" t="s">
        <v>1694</v>
      </c>
      <c r="B4" s="39" t="s">
        <v>2426</v>
      </c>
      <c r="C4" s="8" t="s">
        <v>2427</v>
      </c>
      <c r="D4" s="40"/>
      <c r="E4" s="40"/>
      <c r="F4" s="8" t="s">
        <v>2428</v>
      </c>
      <c r="G4" s="39" t="s">
        <v>2429</v>
      </c>
      <c r="H4" s="39" t="s">
        <v>2430</v>
      </c>
      <c r="I4" s="39" t="s">
        <v>2431</v>
      </c>
      <c r="J4" s="39" t="s">
        <v>2432</v>
      </c>
      <c r="K4" s="39" t="s">
        <v>2433</v>
      </c>
      <c r="L4" s="39" t="s">
        <v>2434</v>
      </c>
      <c r="M4" s="40"/>
      <c r="N4" s="8" t="s">
        <v>2435</v>
      </c>
      <c r="O4" s="39" t="s">
        <v>2436</v>
      </c>
      <c r="P4" s="39" t="s">
        <v>2437</v>
      </c>
      <c r="R4" s="8" t="s">
        <v>25</v>
      </c>
    </row>
    <row r="5" ht="16.5" customHeight="1">
      <c r="A5" s="37" t="s">
        <v>1695</v>
      </c>
      <c r="B5" s="39" t="s">
        <v>2438</v>
      </c>
      <c r="C5" s="8" t="s">
        <v>2439</v>
      </c>
      <c r="D5" s="40"/>
      <c r="E5" s="40"/>
      <c r="F5" s="8" t="s">
        <v>2440</v>
      </c>
      <c r="G5" s="41" t="s">
        <v>2441</v>
      </c>
      <c r="H5" s="39" t="s">
        <v>2442</v>
      </c>
      <c r="I5" s="39" t="s">
        <v>2443</v>
      </c>
      <c r="J5" s="39" t="s">
        <v>2444</v>
      </c>
      <c r="K5" s="8" t="s">
        <v>2445</v>
      </c>
      <c r="L5" s="39" t="s">
        <v>2446</v>
      </c>
      <c r="M5" s="40"/>
      <c r="N5" s="39" t="s">
        <v>2447</v>
      </c>
      <c r="O5" s="39" t="s">
        <v>2448</v>
      </c>
      <c r="P5" s="39" t="s">
        <v>2449</v>
      </c>
      <c r="R5" s="9">
        <v>44803.0</v>
      </c>
    </row>
    <row r="6" ht="16.5" customHeight="1">
      <c r="A6" s="37" t="s">
        <v>1696</v>
      </c>
      <c r="B6" s="39" t="s">
        <v>2450</v>
      </c>
      <c r="C6" s="40"/>
      <c r="D6" s="8" t="s">
        <v>2451</v>
      </c>
      <c r="E6" s="8" t="s">
        <v>2452</v>
      </c>
      <c r="F6" s="40"/>
      <c r="G6" s="39" t="s">
        <v>2453</v>
      </c>
      <c r="H6" s="8" t="s">
        <v>2454</v>
      </c>
      <c r="I6" s="39" t="s">
        <v>2455</v>
      </c>
      <c r="J6" s="40"/>
      <c r="K6" s="39" t="s">
        <v>2456</v>
      </c>
      <c r="L6" s="39" t="s">
        <v>2457</v>
      </c>
      <c r="M6" s="39" t="s">
        <v>2458</v>
      </c>
      <c r="N6" s="8" t="s">
        <v>2459</v>
      </c>
      <c r="O6" s="39" t="s">
        <v>2460</v>
      </c>
      <c r="P6" s="46" t="s">
        <v>2461</v>
      </c>
    </row>
    <row r="7" ht="16.5" customHeight="1">
      <c r="A7" s="37" t="s">
        <v>1697</v>
      </c>
      <c r="B7" s="39" t="s">
        <v>2462</v>
      </c>
      <c r="C7" s="8" t="s">
        <v>2463</v>
      </c>
      <c r="D7" s="39" t="s">
        <v>2464</v>
      </c>
      <c r="E7" s="41" t="s">
        <v>2465</v>
      </c>
      <c r="F7" s="39" t="s">
        <v>2466</v>
      </c>
      <c r="G7" s="40"/>
      <c r="H7" s="8" t="s">
        <v>2467</v>
      </c>
      <c r="I7" s="42"/>
      <c r="J7" s="8" t="s">
        <v>2468</v>
      </c>
      <c r="K7" s="8" t="s">
        <v>2469</v>
      </c>
      <c r="L7" s="39" t="s">
        <v>2470</v>
      </c>
      <c r="M7" s="39" t="s">
        <v>2471</v>
      </c>
      <c r="N7" s="13" t="s">
        <v>2472</v>
      </c>
      <c r="O7" s="40"/>
      <c r="P7" s="39" t="s">
        <v>2473</v>
      </c>
    </row>
    <row r="8" ht="16.5" customHeight="1">
      <c r="A8" s="37" t="s">
        <v>1698</v>
      </c>
      <c r="B8" s="39" t="s">
        <v>2474</v>
      </c>
      <c r="C8" s="39" t="s">
        <v>2475</v>
      </c>
      <c r="D8" s="39" t="s">
        <v>2476</v>
      </c>
      <c r="E8" s="39" t="s">
        <v>2477</v>
      </c>
      <c r="F8" s="8" t="s">
        <v>2478</v>
      </c>
      <c r="G8" s="8" t="s">
        <v>2479</v>
      </c>
      <c r="H8" s="40"/>
      <c r="I8" s="13" t="s">
        <v>2480</v>
      </c>
      <c r="J8" s="39" t="s">
        <v>2481</v>
      </c>
      <c r="K8" s="40"/>
      <c r="L8" s="39" t="s">
        <v>2482</v>
      </c>
      <c r="M8" s="8" t="s">
        <v>2483</v>
      </c>
      <c r="N8" s="47"/>
      <c r="O8" s="54" t="s">
        <v>2484</v>
      </c>
      <c r="P8" s="39" t="s">
        <v>2485</v>
      </c>
    </row>
    <row r="9" ht="16.5" customHeight="1">
      <c r="A9" s="37" t="s">
        <v>1700</v>
      </c>
      <c r="B9" s="39" t="s">
        <v>2486</v>
      </c>
      <c r="C9" s="39" t="s">
        <v>2487</v>
      </c>
      <c r="D9" s="39" t="s">
        <v>2488</v>
      </c>
      <c r="E9" s="39" t="s">
        <v>2489</v>
      </c>
      <c r="F9" s="39" t="s">
        <v>2490</v>
      </c>
      <c r="G9" s="42"/>
      <c r="H9" s="13" t="s">
        <v>2491</v>
      </c>
      <c r="I9" s="40"/>
      <c r="J9" s="39" t="s">
        <v>2492</v>
      </c>
      <c r="K9" s="39" t="s">
        <v>2493</v>
      </c>
      <c r="L9" s="39" t="s">
        <v>2494</v>
      </c>
      <c r="M9" s="39" t="s">
        <v>2495</v>
      </c>
      <c r="N9" s="39" t="s">
        <v>2496</v>
      </c>
      <c r="O9" s="40"/>
      <c r="P9" s="39" t="s">
        <v>2497</v>
      </c>
    </row>
    <row r="10" ht="16.5" customHeight="1">
      <c r="A10" s="37" t="s">
        <v>1701</v>
      </c>
      <c r="B10" s="39" t="s">
        <v>2498</v>
      </c>
      <c r="C10" s="40"/>
      <c r="D10" s="39" t="s">
        <v>2499</v>
      </c>
      <c r="E10" s="39" t="s">
        <v>2500</v>
      </c>
      <c r="F10" s="40"/>
      <c r="G10" s="8" t="s">
        <v>2501</v>
      </c>
      <c r="H10" s="39" t="s">
        <v>2502</v>
      </c>
      <c r="I10" s="39" t="s">
        <v>2503</v>
      </c>
      <c r="J10" s="40"/>
      <c r="K10" s="39" t="s">
        <v>2504</v>
      </c>
      <c r="L10" s="39" t="s">
        <v>2505</v>
      </c>
      <c r="M10" s="39" t="s">
        <v>2506</v>
      </c>
      <c r="N10" s="39" t="s">
        <v>2507</v>
      </c>
      <c r="O10" s="39" t="s">
        <v>2508</v>
      </c>
      <c r="P10" s="39" t="s">
        <v>2509</v>
      </c>
    </row>
    <row r="11" ht="16.5" customHeight="1">
      <c r="A11" s="37" t="s">
        <v>1702</v>
      </c>
      <c r="B11" s="39" t="s">
        <v>2510</v>
      </c>
      <c r="C11" s="39" t="s">
        <v>2511</v>
      </c>
      <c r="D11" s="39" t="s">
        <v>2512</v>
      </c>
      <c r="E11" s="8" t="s">
        <v>2513</v>
      </c>
      <c r="F11" s="39" t="s">
        <v>2514</v>
      </c>
      <c r="G11" s="8" t="s">
        <v>2515</v>
      </c>
      <c r="H11" s="40"/>
      <c r="I11" s="39" t="s">
        <v>2516</v>
      </c>
      <c r="J11" s="39" t="s">
        <v>2517</v>
      </c>
      <c r="K11" s="40"/>
      <c r="L11" s="39" t="s">
        <v>2518</v>
      </c>
      <c r="M11" s="8" t="s">
        <v>2519</v>
      </c>
      <c r="N11" s="40"/>
      <c r="O11" s="39" t="s">
        <v>2520</v>
      </c>
      <c r="P11" s="39" t="s">
        <v>2521</v>
      </c>
    </row>
    <row r="12" ht="16.5" customHeight="1">
      <c r="A12" s="37" t="s">
        <v>1703</v>
      </c>
      <c r="B12" s="40"/>
      <c r="C12" s="39" t="s">
        <v>2522</v>
      </c>
      <c r="D12" s="39" t="s">
        <v>2523</v>
      </c>
      <c r="E12" s="39" t="s">
        <v>2524</v>
      </c>
      <c r="F12" s="39" t="s">
        <v>2525</v>
      </c>
      <c r="G12" s="39" t="s">
        <v>2526</v>
      </c>
      <c r="H12" s="39" t="s">
        <v>2527</v>
      </c>
      <c r="I12" s="39" t="s">
        <v>2528</v>
      </c>
      <c r="J12" s="39" t="s">
        <v>2529</v>
      </c>
      <c r="K12" s="39" t="s">
        <v>2530</v>
      </c>
      <c r="L12" s="40"/>
      <c r="M12" s="39" t="s">
        <v>2531</v>
      </c>
      <c r="N12" s="39" t="s">
        <v>2532</v>
      </c>
      <c r="O12" s="39" t="s">
        <v>2533</v>
      </c>
      <c r="P12" s="42"/>
    </row>
    <row r="13" ht="16.5" customHeight="1">
      <c r="A13" s="37" t="s">
        <v>1705</v>
      </c>
      <c r="B13" s="41" t="s">
        <v>2534</v>
      </c>
      <c r="C13" s="39" t="s">
        <v>2535</v>
      </c>
      <c r="D13" s="40"/>
      <c r="E13" s="40"/>
      <c r="F13" s="39" t="s">
        <v>2536</v>
      </c>
      <c r="G13" s="39" t="s">
        <v>2537</v>
      </c>
      <c r="H13" s="8" t="s">
        <v>2538</v>
      </c>
      <c r="I13" s="39" t="s">
        <v>2539</v>
      </c>
      <c r="J13" s="39" t="s">
        <v>2540</v>
      </c>
      <c r="K13" s="8" t="s">
        <v>2541</v>
      </c>
      <c r="L13" s="39" t="s">
        <v>2542</v>
      </c>
      <c r="M13" s="40"/>
      <c r="N13" s="39" t="s">
        <v>2543</v>
      </c>
      <c r="O13" s="39" t="s">
        <v>2544</v>
      </c>
      <c r="P13" s="39" t="s">
        <v>2545</v>
      </c>
    </row>
    <row r="14" ht="16.5" customHeight="1">
      <c r="A14" s="37" t="s">
        <v>1706</v>
      </c>
      <c r="B14" s="39" t="s">
        <v>2546</v>
      </c>
      <c r="C14" s="39" t="s">
        <v>2547</v>
      </c>
      <c r="D14" s="8" t="s">
        <v>2548</v>
      </c>
      <c r="E14" s="39" t="s">
        <v>2549</v>
      </c>
      <c r="F14" s="8" t="s">
        <v>2550</v>
      </c>
      <c r="G14" s="13" t="s">
        <v>2551</v>
      </c>
      <c r="H14" s="42"/>
      <c r="I14" s="39" t="s">
        <v>2552</v>
      </c>
      <c r="J14" s="39" t="s">
        <v>2553</v>
      </c>
      <c r="K14" s="40"/>
      <c r="L14" s="39" t="s">
        <v>2554</v>
      </c>
      <c r="M14" s="39" t="s">
        <v>2555</v>
      </c>
      <c r="N14" s="40"/>
      <c r="O14" s="8" t="s">
        <v>2556</v>
      </c>
      <c r="P14" s="39" t="s">
        <v>2557</v>
      </c>
    </row>
    <row r="15" ht="16.5" customHeight="1">
      <c r="A15" s="37" t="s">
        <v>1707</v>
      </c>
      <c r="B15" s="39" t="s">
        <v>2558</v>
      </c>
      <c r="C15" s="39" t="s">
        <v>2559</v>
      </c>
      <c r="D15" s="39" t="s">
        <v>2560</v>
      </c>
      <c r="E15" s="39" t="s">
        <v>2561</v>
      </c>
      <c r="F15" s="39" t="s">
        <v>2562</v>
      </c>
      <c r="G15" s="40"/>
      <c r="H15" s="54" t="s">
        <v>2563</v>
      </c>
      <c r="I15" s="40"/>
      <c r="J15" s="39" t="s">
        <v>2564</v>
      </c>
      <c r="K15" s="39" t="s">
        <v>2565</v>
      </c>
      <c r="L15" s="39" t="s">
        <v>2566</v>
      </c>
      <c r="M15" s="39" t="s">
        <v>2567</v>
      </c>
      <c r="N15" s="8" t="s">
        <v>2568</v>
      </c>
      <c r="O15" s="40"/>
      <c r="P15" s="39" t="s">
        <v>2569</v>
      </c>
    </row>
    <row r="16" ht="16.5" customHeight="1">
      <c r="A16" s="37" t="s">
        <v>1709</v>
      </c>
      <c r="B16" s="40"/>
      <c r="C16" s="13" t="s">
        <v>2570</v>
      </c>
      <c r="D16" s="39" t="s">
        <v>2571</v>
      </c>
      <c r="E16" s="39" t="s">
        <v>2572</v>
      </c>
      <c r="F16" s="46" t="s">
        <v>2573</v>
      </c>
      <c r="G16" s="39" t="s">
        <v>2574</v>
      </c>
      <c r="H16" s="39" t="s">
        <v>2575</v>
      </c>
      <c r="I16" s="39" t="s">
        <v>2576</v>
      </c>
      <c r="J16" s="39" t="s">
        <v>2577</v>
      </c>
      <c r="K16" s="39" t="s">
        <v>2578</v>
      </c>
      <c r="L16" s="40"/>
      <c r="M16" s="39" t="s">
        <v>2579</v>
      </c>
      <c r="N16" s="39" t="s">
        <v>2580</v>
      </c>
      <c r="O16" s="39" t="s">
        <v>2581</v>
      </c>
      <c r="P16" s="40"/>
    </row>
    <row r="17" ht="16.5" customHeight="1">
      <c r="A17" s="1"/>
      <c r="M17" s="39"/>
    </row>
    <row r="18" ht="16.5" customHeight="1">
      <c r="A18" s="2" t="s">
        <v>2088</v>
      </c>
      <c r="B18" s="8" t="s">
        <v>2582</v>
      </c>
      <c r="C18" s="8" t="s">
        <v>2583</v>
      </c>
      <c r="D18" s="30" t="s">
        <v>2584</v>
      </c>
      <c r="E18" s="12" t="s">
        <v>2585</v>
      </c>
      <c r="F18" s="8" t="s">
        <v>2586</v>
      </c>
      <c r="G18" s="8" t="s">
        <v>2587</v>
      </c>
      <c r="H18" s="8" t="s">
        <v>2588</v>
      </c>
      <c r="I18" s="8" t="s">
        <v>2589</v>
      </c>
      <c r="J18" s="30" t="s">
        <v>2590</v>
      </c>
      <c r="K18" s="30" t="s">
        <v>2591</v>
      </c>
      <c r="L18" s="8" t="s">
        <v>2108</v>
      </c>
      <c r="M18" s="55" t="s">
        <v>2592</v>
      </c>
      <c r="N18" s="8" t="s">
        <v>2593</v>
      </c>
      <c r="O18" s="30" t="s">
        <v>2594</v>
      </c>
      <c r="P18" s="30" t="s">
        <v>2595</v>
      </c>
    </row>
    <row r="19" ht="16.5" customHeight="1">
      <c r="A19" s="1"/>
      <c r="C19" s="16"/>
      <c r="D19" s="30"/>
    </row>
    <row r="20" ht="16.5" customHeight="1">
      <c r="A20" s="1"/>
      <c r="B20" s="8" t="s">
        <v>2596</v>
      </c>
      <c r="C20" s="51"/>
      <c r="D20" s="50"/>
    </row>
    <row r="21" ht="16.5" customHeight="1">
      <c r="A21" s="1"/>
      <c r="B21" s="52">
        <f>COUNTA(B2:P16)</f>
        <v>180</v>
      </c>
      <c r="D21" s="8"/>
    </row>
    <row r="22" ht="16.5" customHeight="1">
      <c r="A22" s="1"/>
      <c r="B22" s="53"/>
    </row>
    <row r="23" ht="16.5" customHeight="1">
      <c r="A23" s="1"/>
      <c r="B23" s="53"/>
      <c r="G23" s="8"/>
      <c r="H23" s="8"/>
      <c r="I23" s="8"/>
      <c r="J23" s="8"/>
      <c r="K23" s="8"/>
      <c r="L23" s="8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7" width="16.71"/>
  </cols>
  <sheetData>
    <row r="1" ht="16.5" customHeight="1">
      <c r="A1" s="36" t="s">
        <v>0</v>
      </c>
      <c r="B1" s="37" t="s">
        <v>1693</v>
      </c>
      <c r="C1" s="37" t="s">
        <v>1694</v>
      </c>
      <c r="D1" s="37" t="s">
        <v>1695</v>
      </c>
      <c r="E1" s="37" t="s">
        <v>1696</v>
      </c>
      <c r="F1" s="37" t="s">
        <v>1697</v>
      </c>
      <c r="G1" s="37" t="s">
        <v>1698</v>
      </c>
      <c r="H1" s="37" t="s">
        <v>1700</v>
      </c>
      <c r="I1" s="37" t="s">
        <v>1701</v>
      </c>
      <c r="J1" s="37" t="s">
        <v>1702</v>
      </c>
      <c r="K1" s="37" t="s">
        <v>1705</v>
      </c>
      <c r="L1" s="37" t="s">
        <v>1706</v>
      </c>
      <c r="M1" s="37" t="s">
        <v>1707</v>
      </c>
      <c r="N1" s="1"/>
      <c r="O1" s="1"/>
      <c r="P1" s="1"/>
      <c r="Q1" s="1"/>
    </row>
    <row r="2" ht="16.5" customHeight="1">
      <c r="A2" s="37" t="s">
        <v>1693</v>
      </c>
      <c r="B2" s="40"/>
      <c r="C2" s="8" t="s">
        <v>2597</v>
      </c>
      <c r="D2" s="8" t="s">
        <v>2598</v>
      </c>
      <c r="E2" s="40"/>
      <c r="F2" s="8" t="s">
        <v>2599</v>
      </c>
      <c r="G2" s="39" t="s">
        <v>2600</v>
      </c>
      <c r="H2" s="39" t="s">
        <v>2601</v>
      </c>
      <c r="I2" s="40"/>
      <c r="J2" s="39" t="s">
        <v>2602</v>
      </c>
      <c r="K2" s="39" t="s">
        <v>2603</v>
      </c>
      <c r="L2" s="39" t="s">
        <v>2604</v>
      </c>
      <c r="M2" s="39" t="s">
        <v>2605</v>
      </c>
      <c r="O2" s="8" t="s">
        <v>2606</v>
      </c>
    </row>
    <row r="3" ht="16.5" customHeight="1">
      <c r="A3" s="37" t="s">
        <v>1694</v>
      </c>
      <c r="B3" s="8" t="s">
        <v>2607</v>
      </c>
      <c r="C3" s="40"/>
      <c r="D3" s="40"/>
      <c r="E3" s="8" t="s">
        <v>2608</v>
      </c>
      <c r="F3" s="39" t="s">
        <v>2609</v>
      </c>
      <c r="G3" s="39" t="s">
        <v>2610</v>
      </c>
      <c r="H3" s="39" t="s">
        <v>2611</v>
      </c>
      <c r="I3" s="39" t="s">
        <v>2612</v>
      </c>
      <c r="J3" s="39" t="s">
        <v>2613</v>
      </c>
      <c r="K3" s="40"/>
      <c r="L3" s="8" t="s">
        <v>2614</v>
      </c>
      <c r="M3" s="39" t="s">
        <v>2615</v>
      </c>
    </row>
    <row r="4" ht="16.5" customHeight="1">
      <c r="A4" s="37" t="s">
        <v>1695</v>
      </c>
      <c r="B4" s="8" t="s">
        <v>2616</v>
      </c>
      <c r="C4" s="40"/>
      <c r="D4" s="40"/>
      <c r="E4" s="8" t="s">
        <v>2617</v>
      </c>
      <c r="F4" s="41" t="s">
        <v>2618</v>
      </c>
      <c r="G4" s="39" t="s">
        <v>2619</v>
      </c>
      <c r="H4" s="39" t="s">
        <v>2620</v>
      </c>
      <c r="I4" s="39" t="s">
        <v>2621</v>
      </c>
      <c r="J4" s="8" t="s">
        <v>2622</v>
      </c>
      <c r="K4" s="40"/>
      <c r="L4" s="39" t="s">
        <v>2623</v>
      </c>
      <c r="M4" s="39" t="s">
        <v>2624</v>
      </c>
      <c r="O4" s="8" t="s">
        <v>25</v>
      </c>
    </row>
    <row r="5" ht="16.5" customHeight="1">
      <c r="A5" s="37" t="s">
        <v>1696</v>
      </c>
      <c r="B5" s="40"/>
      <c r="C5" s="8" t="s">
        <v>2625</v>
      </c>
      <c r="D5" s="8" t="s">
        <v>2626</v>
      </c>
      <c r="E5" s="40"/>
      <c r="F5" s="39" t="s">
        <v>2627</v>
      </c>
      <c r="G5" s="8" t="s">
        <v>2628</v>
      </c>
      <c r="H5" s="39" t="s">
        <v>2629</v>
      </c>
      <c r="I5" s="40"/>
      <c r="J5" s="39" t="s">
        <v>2630</v>
      </c>
      <c r="K5" s="39" t="s">
        <v>2631</v>
      </c>
      <c r="L5" s="8" t="s">
        <v>2632</v>
      </c>
      <c r="M5" s="39" t="s">
        <v>2633</v>
      </c>
      <c r="O5" s="9">
        <v>44805.0</v>
      </c>
    </row>
    <row r="6" ht="16.5" customHeight="1">
      <c r="A6" s="37" t="s">
        <v>1697</v>
      </c>
      <c r="B6" s="8" t="s">
        <v>2634</v>
      </c>
      <c r="C6" s="39" t="s">
        <v>2635</v>
      </c>
      <c r="D6" s="41" t="s">
        <v>2636</v>
      </c>
      <c r="E6" s="39" t="s">
        <v>2637</v>
      </c>
      <c r="F6" s="40"/>
      <c r="G6" s="8" t="s">
        <v>2638</v>
      </c>
      <c r="H6" s="42"/>
      <c r="I6" s="8" t="s">
        <v>2639</v>
      </c>
      <c r="J6" s="8" t="s">
        <v>2640</v>
      </c>
      <c r="K6" s="39" t="s">
        <v>2641</v>
      </c>
      <c r="L6" s="13" t="s">
        <v>2642</v>
      </c>
      <c r="M6" s="40"/>
    </row>
    <row r="7" ht="16.5" customHeight="1">
      <c r="A7" s="37" t="s">
        <v>1698</v>
      </c>
      <c r="B7" s="39" t="s">
        <v>2643</v>
      </c>
      <c r="C7" s="39" t="s">
        <v>2644</v>
      </c>
      <c r="D7" s="39" t="s">
        <v>2645</v>
      </c>
      <c r="E7" s="8" t="s">
        <v>2646</v>
      </c>
      <c r="F7" s="8" t="s">
        <v>2647</v>
      </c>
      <c r="G7" s="40"/>
      <c r="H7" s="13" t="s">
        <v>2648</v>
      </c>
      <c r="I7" s="39" t="s">
        <v>2649</v>
      </c>
      <c r="J7" s="40"/>
      <c r="K7" s="8" t="s">
        <v>2650</v>
      </c>
      <c r="L7" s="47"/>
      <c r="M7" s="54" t="s">
        <v>2651</v>
      </c>
    </row>
    <row r="8" ht="16.5" customHeight="1">
      <c r="A8" s="37" t="s">
        <v>1700</v>
      </c>
      <c r="B8" s="39" t="s">
        <v>2652</v>
      </c>
      <c r="C8" s="39" t="s">
        <v>2653</v>
      </c>
      <c r="D8" s="39" t="s">
        <v>2654</v>
      </c>
      <c r="E8" s="39" t="s">
        <v>2655</v>
      </c>
      <c r="F8" s="42"/>
      <c r="G8" s="13" t="s">
        <v>2656</v>
      </c>
      <c r="H8" s="40"/>
      <c r="I8" s="39" t="s">
        <v>2657</v>
      </c>
      <c r="J8" s="39" t="s">
        <v>2658</v>
      </c>
      <c r="K8" s="39" t="s">
        <v>2659</v>
      </c>
      <c r="L8" s="39" t="s">
        <v>2660</v>
      </c>
      <c r="M8" s="40"/>
    </row>
    <row r="9" ht="16.5" customHeight="1">
      <c r="A9" s="37" t="s">
        <v>1701</v>
      </c>
      <c r="B9" s="40"/>
      <c r="C9" s="39" t="s">
        <v>2661</v>
      </c>
      <c r="D9" s="39" t="s">
        <v>2662</v>
      </c>
      <c r="E9" s="40"/>
      <c r="F9" s="8" t="s">
        <v>2663</v>
      </c>
      <c r="G9" s="39" t="s">
        <v>2664</v>
      </c>
      <c r="H9" s="39" t="s">
        <v>2665</v>
      </c>
      <c r="I9" s="40"/>
      <c r="J9" s="39" t="s">
        <v>2666</v>
      </c>
      <c r="K9" s="39" t="s">
        <v>2667</v>
      </c>
      <c r="L9" s="39" t="s">
        <v>2668</v>
      </c>
      <c r="M9" s="39" t="s">
        <v>2669</v>
      </c>
    </row>
    <row r="10" ht="16.5" customHeight="1">
      <c r="A10" s="37" t="s">
        <v>1702</v>
      </c>
      <c r="B10" s="39" t="s">
        <v>2670</v>
      </c>
      <c r="C10" s="39" t="s">
        <v>2671</v>
      </c>
      <c r="D10" s="8" t="s">
        <v>2672</v>
      </c>
      <c r="E10" s="39" t="s">
        <v>2673</v>
      </c>
      <c r="F10" s="8" t="s">
        <v>2674</v>
      </c>
      <c r="G10" s="40"/>
      <c r="H10" s="39" t="s">
        <v>2675</v>
      </c>
      <c r="I10" s="39" t="s">
        <v>2676</v>
      </c>
      <c r="J10" s="40"/>
      <c r="K10" s="8" t="s">
        <v>2677</v>
      </c>
      <c r="L10" s="40"/>
      <c r="M10" s="39" t="s">
        <v>2678</v>
      </c>
    </row>
    <row r="11" ht="16.5" customHeight="1">
      <c r="A11" s="37" t="s">
        <v>1705</v>
      </c>
      <c r="B11" s="39" t="s">
        <v>2679</v>
      </c>
      <c r="C11" s="40"/>
      <c r="D11" s="40"/>
      <c r="E11" s="39" t="s">
        <v>2680</v>
      </c>
      <c r="F11" s="39" t="s">
        <v>2681</v>
      </c>
      <c r="G11" s="8" t="s">
        <v>2682</v>
      </c>
      <c r="H11" s="39" t="s">
        <v>2683</v>
      </c>
      <c r="I11" s="39" t="s">
        <v>2684</v>
      </c>
      <c r="J11" s="8" t="s">
        <v>2685</v>
      </c>
      <c r="K11" s="40"/>
      <c r="L11" s="39" t="s">
        <v>2686</v>
      </c>
      <c r="M11" s="39" t="s">
        <v>2687</v>
      </c>
    </row>
    <row r="12" ht="16.5" customHeight="1">
      <c r="A12" s="37" t="s">
        <v>1706</v>
      </c>
      <c r="B12" s="39" t="s">
        <v>2688</v>
      </c>
      <c r="C12" s="8" t="s">
        <v>2689</v>
      </c>
      <c r="D12" s="39" t="s">
        <v>2690</v>
      </c>
      <c r="E12" s="8" t="s">
        <v>2691</v>
      </c>
      <c r="F12" s="13" t="s">
        <v>2692</v>
      </c>
      <c r="G12" s="42"/>
      <c r="H12" s="39" t="s">
        <v>2693</v>
      </c>
      <c r="I12" s="39" t="s">
        <v>2694</v>
      </c>
      <c r="J12" s="40"/>
      <c r="K12" s="39" t="s">
        <v>2695</v>
      </c>
      <c r="L12" s="40"/>
      <c r="M12" s="8" t="s">
        <v>2696</v>
      </c>
    </row>
    <row r="13" ht="16.5" customHeight="1">
      <c r="A13" s="37" t="s">
        <v>1707</v>
      </c>
      <c r="B13" s="39" t="s">
        <v>2697</v>
      </c>
      <c r="C13" s="39" t="s">
        <v>2698</v>
      </c>
      <c r="D13" s="39" t="s">
        <v>2699</v>
      </c>
      <c r="E13" s="39" t="s">
        <v>2700</v>
      </c>
      <c r="F13" s="40"/>
      <c r="G13" s="54" t="s">
        <v>2701</v>
      </c>
      <c r="H13" s="40"/>
      <c r="I13" s="39" t="s">
        <v>2702</v>
      </c>
      <c r="J13" s="39" t="s">
        <v>2703</v>
      </c>
      <c r="K13" s="39" t="s">
        <v>2704</v>
      </c>
      <c r="L13" s="8" t="s">
        <v>2705</v>
      </c>
      <c r="M13" s="40"/>
    </row>
    <row r="14" ht="16.5" customHeight="1">
      <c r="A14" s="1"/>
    </row>
    <row r="15" ht="16.5" customHeight="1">
      <c r="A15" s="2" t="s">
        <v>2088</v>
      </c>
      <c r="B15" s="30" t="s">
        <v>2706</v>
      </c>
      <c r="C15" s="30" t="s">
        <v>2707</v>
      </c>
      <c r="D15" s="12" t="s">
        <v>2708</v>
      </c>
      <c r="E15" s="8" t="s">
        <v>2709</v>
      </c>
      <c r="F15" s="8" t="s">
        <v>2710</v>
      </c>
      <c r="G15" s="8" t="s">
        <v>2711</v>
      </c>
      <c r="H15" s="8" t="s">
        <v>2712</v>
      </c>
      <c r="I15" s="30" t="s">
        <v>2713</v>
      </c>
      <c r="J15" s="8" t="s">
        <v>2714</v>
      </c>
      <c r="K15" s="30" t="s">
        <v>2715</v>
      </c>
      <c r="L15" s="8" t="s">
        <v>2716</v>
      </c>
      <c r="M15" s="30" t="s">
        <v>2717</v>
      </c>
    </row>
    <row r="16" ht="16.5" customHeight="1">
      <c r="A16" s="1"/>
      <c r="B16" s="16"/>
      <c r="C16" s="30"/>
    </row>
    <row r="17" ht="16.5" customHeight="1">
      <c r="A17" s="1"/>
      <c r="B17" s="30" t="s">
        <v>2718</v>
      </c>
      <c r="C17" s="50"/>
    </row>
    <row r="18" ht="16.5" customHeight="1">
      <c r="A18" s="1"/>
      <c r="B18">
        <f>COUNTA(B2:M13)</f>
        <v>108</v>
      </c>
      <c r="C18" s="8"/>
    </row>
    <row r="19" ht="16.5" customHeight="1">
      <c r="A19" s="1"/>
    </row>
    <row r="20" ht="16.5" customHeight="1">
      <c r="A20" s="1"/>
      <c r="F20" s="8"/>
      <c r="G20" s="8"/>
      <c r="H20" s="8"/>
      <c r="I20" s="8"/>
      <c r="J20" s="8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4" width="16.71"/>
  </cols>
  <sheetData>
    <row r="1" ht="16.5" customHeight="1">
      <c r="A1" s="36" t="s">
        <v>0</v>
      </c>
      <c r="B1" s="37" t="s">
        <v>1694</v>
      </c>
      <c r="C1" s="37" t="s">
        <v>1695</v>
      </c>
      <c r="D1" s="37" t="s">
        <v>1697</v>
      </c>
      <c r="E1" s="37" t="s">
        <v>1698</v>
      </c>
      <c r="F1" s="37" t="s">
        <v>1700</v>
      </c>
      <c r="G1" s="37" t="s">
        <v>1702</v>
      </c>
      <c r="H1" s="37" t="s">
        <v>1705</v>
      </c>
      <c r="I1" s="37" t="s">
        <v>1706</v>
      </c>
      <c r="J1" s="37" t="s">
        <v>1707</v>
      </c>
      <c r="K1" s="1"/>
      <c r="L1" s="1"/>
      <c r="M1" s="1"/>
      <c r="N1" s="1"/>
    </row>
    <row r="2" ht="16.5" customHeight="1">
      <c r="A2" s="37" t="s">
        <v>1694</v>
      </c>
      <c r="B2" s="40"/>
      <c r="C2" s="40"/>
      <c r="D2" s="39" t="s">
        <v>2719</v>
      </c>
      <c r="E2" s="39" t="s">
        <v>2720</v>
      </c>
      <c r="F2" s="39" t="s">
        <v>2721</v>
      </c>
      <c r="G2" s="39" t="s">
        <v>2722</v>
      </c>
      <c r="H2" s="40"/>
      <c r="I2" s="8" t="s">
        <v>2723</v>
      </c>
      <c r="J2" s="39" t="s">
        <v>2724</v>
      </c>
      <c r="L2" s="8" t="s">
        <v>2725</v>
      </c>
    </row>
    <row r="3" ht="16.5" customHeight="1">
      <c r="A3" s="37" t="s">
        <v>1695</v>
      </c>
      <c r="B3" s="40"/>
      <c r="C3" s="40"/>
      <c r="D3" s="41" t="s">
        <v>2726</v>
      </c>
      <c r="E3" s="39" t="s">
        <v>2727</v>
      </c>
      <c r="F3" s="39" t="s">
        <v>2728</v>
      </c>
      <c r="G3" s="8" t="s">
        <v>2729</v>
      </c>
      <c r="H3" s="40"/>
      <c r="I3" s="39" t="s">
        <v>2730</v>
      </c>
      <c r="J3" s="39" t="s">
        <v>2731</v>
      </c>
    </row>
    <row r="4" ht="16.5" customHeight="1">
      <c r="A4" s="37" t="s">
        <v>1697</v>
      </c>
      <c r="B4" s="39" t="s">
        <v>2732</v>
      </c>
      <c r="C4" s="41" t="s">
        <v>2733</v>
      </c>
      <c r="D4" s="40"/>
      <c r="E4" s="8" t="s">
        <v>2734</v>
      </c>
      <c r="F4" s="42"/>
      <c r="G4" s="8" t="s">
        <v>2735</v>
      </c>
      <c r="H4" s="39" t="s">
        <v>2736</v>
      </c>
      <c r="I4" s="13" t="s">
        <v>2737</v>
      </c>
      <c r="J4" s="40"/>
      <c r="L4" s="8" t="s">
        <v>25</v>
      </c>
    </row>
    <row r="5" ht="16.5" customHeight="1">
      <c r="A5" s="37" t="s">
        <v>1698</v>
      </c>
      <c r="B5" s="39" t="s">
        <v>2738</v>
      </c>
      <c r="C5" s="39" t="s">
        <v>2739</v>
      </c>
      <c r="D5" s="8" t="s">
        <v>2740</v>
      </c>
      <c r="E5" s="40"/>
      <c r="F5" s="13" t="s">
        <v>2741</v>
      </c>
      <c r="G5" s="40"/>
      <c r="H5" s="8" t="s">
        <v>2742</v>
      </c>
      <c r="I5" s="47"/>
      <c r="J5" s="39" t="s">
        <v>2743</v>
      </c>
      <c r="L5" s="9">
        <v>44805.0</v>
      </c>
    </row>
    <row r="6" ht="16.5" customHeight="1">
      <c r="A6" s="37" t="s">
        <v>1700</v>
      </c>
      <c r="B6" s="39" t="s">
        <v>2744</v>
      </c>
      <c r="C6" s="39" t="s">
        <v>2745</v>
      </c>
      <c r="D6" s="42"/>
      <c r="E6" s="13" t="s">
        <v>2746</v>
      </c>
      <c r="F6" s="40"/>
      <c r="G6" s="39" t="s">
        <v>2747</v>
      </c>
      <c r="H6" s="39" t="s">
        <v>2748</v>
      </c>
      <c r="I6" s="39" t="s">
        <v>2749</v>
      </c>
      <c r="J6" s="40"/>
    </row>
    <row r="7" ht="16.5" customHeight="1">
      <c r="A7" s="37" t="s">
        <v>1702</v>
      </c>
      <c r="B7" s="39" t="s">
        <v>2750</v>
      </c>
      <c r="C7" s="8" t="s">
        <v>2751</v>
      </c>
      <c r="D7" s="8" t="s">
        <v>2752</v>
      </c>
      <c r="E7" s="40"/>
      <c r="F7" s="39" t="s">
        <v>2753</v>
      </c>
      <c r="G7" s="40"/>
      <c r="H7" s="8" t="s">
        <v>2754</v>
      </c>
      <c r="I7" s="40"/>
      <c r="J7" s="39" t="s">
        <v>2755</v>
      </c>
    </row>
    <row r="8" ht="16.5" customHeight="1">
      <c r="A8" s="37" t="s">
        <v>1705</v>
      </c>
      <c r="B8" s="40"/>
      <c r="C8" s="40"/>
      <c r="D8" s="39" t="s">
        <v>2756</v>
      </c>
      <c r="E8" s="8" t="s">
        <v>2757</v>
      </c>
      <c r="F8" s="39" t="s">
        <v>2758</v>
      </c>
      <c r="G8" s="8" t="s">
        <v>2759</v>
      </c>
      <c r="H8" s="40"/>
      <c r="I8" s="39" t="s">
        <v>2760</v>
      </c>
      <c r="J8" s="39" t="s">
        <v>2761</v>
      </c>
    </row>
    <row r="9" ht="16.5" customHeight="1">
      <c r="A9" s="37" t="s">
        <v>1706</v>
      </c>
      <c r="B9" s="8" t="s">
        <v>2762</v>
      </c>
      <c r="C9" s="39" t="s">
        <v>2763</v>
      </c>
      <c r="D9" s="13" t="s">
        <v>2764</v>
      </c>
      <c r="E9" s="42"/>
      <c r="F9" s="39" t="s">
        <v>2765</v>
      </c>
      <c r="G9" s="40"/>
      <c r="H9" s="39" t="s">
        <v>2766</v>
      </c>
      <c r="I9" s="40"/>
      <c r="J9" s="8" t="s">
        <v>2767</v>
      </c>
    </row>
    <row r="10" ht="16.5" customHeight="1">
      <c r="A10" s="37" t="s">
        <v>1707</v>
      </c>
      <c r="B10" s="39" t="s">
        <v>2768</v>
      </c>
      <c r="C10" s="39" t="s">
        <v>2769</v>
      </c>
      <c r="D10" s="40"/>
      <c r="E10" s="39" t="s">
        <v>2770</v>
      </c>
      <c r="F10" s="40"/>
      <c r="G10" s="39" t="s">
        <v>2771</v>
      </c>
      <c r="H10" s="39" t="s">
        <v>2772</v>
      </c>
      <c r="I10" s="8" t="s">
        <v>2773</v>
      </c>
      <c r="J10" s="40"/>
    </row>
    <row r="11" ht="16.5" customHeight="1">
      <c r="A11" s="1"/>
    </row>
    <row r="12" ht="16.5" customHeight="1">
      <c r="A12" s="2" t="s">
        <v>2088</v>
      </c>
      <c r="B12" s="30" t="s">
        <v>2774</v>
      </c>
      <c r="C12" s="48" t="s">
        <v>2775</v>
      </c>
      <c r="D12" s="8" t="s">
        <v>2776</v>
      </c>
      <c r="E12" s="8" t="s">
        <v>2777</v>
      </c>
      <c r="F12" s="8" t="s">
        <v>2778</v>
      </c>
      <c r="G12" s="8" t="s">
        <v>2779</v>
      </c>
      <c r="H12" s="30" t="s">
        <v>2780</v>
      </c>
      <c r="I12" s="8" t="s">
        <v>2781</v>
      </c>
      <c r="J12" s="30" t="s">
        <v>2782</v>
      </c>
    </row>
    <row r="13" ht="16.5" customHeight="1">
      <c r="A13" s="1"/>
      <c r="B13" s="30"/>
    </row>
    <row r="14" ht="16.5" customHeight="1">
      <c r="A14" s="1"/>
      <c r="B14" s="30" t="s">
        <v>2783</v>
      </c>
    </row>
    <row r="15" ht="16.5" customHeight="1">
      <c r="A15" s="1"/>
      <c r="B15">
        <f>COUNTA(B2:J10)</f>
        <v>54</v>
      </c>
    </row>
    <row r="16" ht="16.5" customHeight="1">
      <c r="A16" s="1"/>
    </row>
    <row r="17" ht="16.5" customHeight="1">
      <c r="A17" s="1"/>
      <c r="D17" s="8"/>
      <c r="E17" s="8"/>
      <c r="F17" s="8"/>
      <c r="G17" s="8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1" width="16.71"/>
  </cols>
  <sheetData>
    <row r="1" ht="16.5" customHeight="1">
      <c r="A1" s="36" t="s">
        <v>0</v>
      </c>
      <c r="B1" s="37" t="s">
        <v>1697</v>
      </c>
      <c r="C1" s="37" t="s">
        <v>1698</v>
      </c>
      <c r="D1" s="37" t="s">
        <v>1700</v>
      </c>
      <c r="E1" s="37" t="s">
        <v>1702</v>
      </c>
      <c r="F1" s="37" t="s">
        <v>1706</v>
      </c>
      <c r="G1" s="37" t="s">
        <v>1707</v>
      </c>
      <c r="H1" s="1"/>
      <c r="I1" s="1"/>
      <c r="J1" s="1"/>
      <c r="K1" s="1"/>
    </row>
    <row r="2" ht="16.5" customHeight="1">
      <c r="A2" s="37" t="s">
        <v>1697</v>
      </c>
      <c r="B2" s="40"/>
      <c r="C2" s="8" t="s">
        <v>2784</v>
      </c>
      <c r="D2" s="42"/>
      <c r="E2" s="8" t="s">
        <v>2785</v>
      </c>
      <c r="F2" s="13" t="s">
        <v>2786</v>
      </c>
      <c r="G2" s="40"/>
      <c r="I2" s="8" t="s">
        <v>2787</v>
      </c>
    </row>
    <row r="3" ht="16.5" customHeight="1">
      <c r="A3" s="37" t="s">
        <v>1698</v>
      </c>
      <c r="B3" s="8" t="s">
        <v>2788</v>
      </c>
      <c r="C3" s="40"/>
      <c r="D3" s="13" t="s">
        <v>2789</v>
      </c>
      <c r="E3" s="40"/>
      <c r="F3" s="47"/>
      <c r="G3" s="39" t="s">
        <v>2790</v>
      </c>
    </row>
    <row r="4" ht="16.5" customHeight="1">
      <c r="A4" s="37" t="s">
        <v>1700</v>
      </c>
      <c r="B4" s="42"/>
      <c r="C4" s="13" t="s">
        <v>2791</v>
      </c>
      <c r="D4" s="40"/>
      <c r="E4" s="39" t="s">
        <v>2792</v>
      </c>
      <c r="F4" s="39" t="s">
        <v>2793</v>
      </c>
      <c r="G4" s="40"/>
      <c r="I4" s="8" t="s">
        <v>25</v>
      </c>
    </row>
    <row r="5" ht="16.5" customHeight="1">
      <c r="A5" s="37" t="s">
        <v>1702</v>
      </c>
      <c r="B5" s="8" t="s">
        <v>2794</v>
      </c>
      <c r="C5" s="40"/>
      <c r="D5" s="39" t="s">
        <v>2795</v>
      </c>
      <c r="E5" s="40"/>
      <c r="F5" s="40"/>
      <c r="G5" s="39" t="s">
        <v>2796</v>
      </c>
      <c r="I5" s="9">
        <v>44805.0</v>
      </c>
    </row>
    <row r="6" ht="16.5" customHeight="1">
      <c r="A6" s="37" t="s">
        <v>1706</v>
      </c>
      <c r="B6" s="13" t="s">
        <v>2797</v>
      </c>
      <c r="C6" s="42"/>
      <c r="D6" s="39" t="s">
        <v>2798</v>
      </c>
      <c r="E6" s="40"/>
      <c r="F6" s="40"/>
      <c r="G6" s="8" t="s">
        <v>2799</v>
      </c>
    </row>
    <row r="7" ht="16.5" customHeight="1">
      <c r="A7" s="37" t="s">
        <v>1707</v>
      </c>
      <c r="B7" s="40"/>
      <c r="C7" s="39" t="s">
        <v>2800</v>
      </c>
      <c r="D7" s="40"/>
      <c r="E7" s="39" t="s">
        <v>2801</v>
      </c>
      <c r="F7" s="8" t="s">
        <v>2802</v>
      </c>
      <c r="G7" s="40"/>
    </row>
    <row r="8" ht="16.5" customHeight="1">
      <c r="A8" s="1"/>
    </row>
    <row r="9" ht="16.5" customHeight="1">
      <c r="A9" s="2" t="s">
        <v>2088</v>
      </c>
      <c r="B9" s="8" t="s">
        <v>2803</v>
      </c>
      <c r="C9" s="56" t="s">
        <v>2804</v>
      </c>
      <c r="D9" s="8" t="s">
        <v>2805</v>
      </c>
      <c r="E9" s="56" t="s">
        <v>2806</v>
      </c>
      <c r="F9" s="56" t="s">
        <v>2807</v>
      </c>
      <c r="G9" s="30" t="s">
        <v>2808</v>
      </c>
    </row>
    <row r="10" ht="16.5" customHeight="1">
      <c r="A10" s="1"/>
    </row>
    <row r="11" ht="16.5" customHeight="1">
      <c r="A11" s="1"/>
      <c r="B11" s="30" t="s">
        <v>2809</v>
      </c>
    </row>
    <row r="12" ht="16.5" customHeight="1">
      <c r="A12" s="1"/>
      <c r="B12">
        <f>COUNTA(B2:G7)</f>
        <v>18</v>
      </c>
    </row>
    <row r="13" ht="16.5" customHeight="1">
      <c r="A13" s="1"/>
    </row>
    <row r="14" ht="16.5" customHeight="1">
      <c r="A14" s="1"/>
      <c r="B14" s="8"/>
      <c r="C14" s="8"/>
      <c r="D14" s="8"/>
      <c r="E14" s="8"/>
    </row>
    <row r="15" ht="16.5" customHeight="1">
      <c r="A15" s="1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.57"/>
    <col customWidth="1" min="2" max="26" width="25.57"/>
  </cols>
  <sheetData>
    <row r="1">
      <c r="B1" s="8" t="s">
        <v>2810</v>
      </c>
      <c r="C1" s="8" t="s">
        <v>2811</v>
      </c>
      <c r="D1" s="8" t="s">
        <v>2812</v>
      </c>
      <c r="E1" s="8" t="s">
        <v>2813</v>
      </c>
      <c r="F1" s="8" t="s">
        <v>2814</v>
      </c>
      <c r="G1" s="8" t="s">
        <v>2815</v>
      </c>
      <c r="H1" s="8" t="s">
        <v>2816</v>
      </c>
      <c r="I1" s="8" t="s">
        <v>2817</v>
      </c>
      <c r="J1" s="8" t="s">
        <v>2818</v>
      </c>
      <c r="K1" s="8" t="s">
        <v>2819</v>
      </c>
      <c r="L1" s="8" t="s">
        <v>2820</v>
      </c>
    </row>
    <row r="2">
      <c r="A2" s="8" t="s">
        <v>2810</v>
      </c>
      <c r="B2" s="7"/>
      <c r="C2" s="8" t="s">
        <v>2821</v>
      </c>
      <c r="D2" s="8" t="s">
        <v>2822</v>
      </c>
      <c r="E2" s="8" t="s">
        <v>2823</v>
      </c>
      <c r="F2" s="8" t="s">
        <v>2824</v>
      </c>
      <c r="G2" s="8" t="s">
        <v>2825</v>
      </c>
      <c r="H2" s="8" t="s">
        <v>2826</v>
      </c>
      <c r="I2" s="8" t="s">
        <v>2827</v>
      </c>
      <c r="J2" s="8" t="s">
        <v>2828</v>
      </c>
      <c r="K2" s="8" t="s">
        <v>2829</v>
      </c>
      <c r="L2" s="8" t="s">
        <v>2830</v>
      </c>
    </row>
    <row r="3">
      <c r="A3" s="8" t="s">
        <v>2811</v>
      </c>
      <c r="B3" s="7"/>
      <c r="C3" s="7"/>
      <c r="D3" s="8" t="s">
        <v>2831</v>
      </c>
      <c r="E3" s="8" t="s">
        <v>2832</v>
      </c>
      <c r="F3" s="8" t="s">
        <v>2833</v>
      </c>
      <c r="G3" s="8" t="s">
        <v>2834</v>
      </c>
      <c r="H3" s="48" t="s">
        <v>2835</v>
      </c>
      <c r="I3" s="8" t="s">
        <v>2836</v>
      </c>
      <c r="J3" s="8" t="s">
        <v>2837</v>
      </c>
      <c r="K3" s="8" t="s">
        <v>2838</v>
      </c>
      <c r="L3" s="8" t="s">
        <v>2839</v>
      </c>
    </row>
    <row r="4">
      <c r="A4" s="8" t="s">
        <v>2812</v>
      </c>
      <c r="B4" s="7"/>
      <c r="C4" s="7"/>
      <c r="D4" s="7"/>
      <c r="E4" s="8" t="s">
        <v>2840</v>
      </c>
      <c r="F4" s="8" t="s">
        <v>2841</v>
      </c>
      <c r="G4" s="8" t="s">
        <v>2842</v>
      </c>
      <c r="H4" s="8" t="s">
        <v>2843</v>
      </c>
      <c r="I4" s="8" t="s">
        <v>2844</v>
      </c>
      <c r="J4" s="8" t="s">
        <v>2845</v>
      </c>
      <c r="K4" s="8" t="s">
        <v>2846</v>
      </c>
      <c r="L4" s="8" t="s">
        <v>2847</v>
      </c>
    </row>
    <row r="5">
      <c r="A5" s="8" t="s">
        <v>2813</v>
      </c>
      <c r="B5" s="7"/>
      <c r="C5" s="7"/>
      <c r="D5" s="7"/>
      <c r="E5" s="7"/>
      <c r="F5" s="8" t="s">
        <v>2848</v>
      </c>
      <c r="G5" s="8" t="s">
        <v>2849</v>
      </c>
      <c r="H5" s="8" t="s">
        <v>2850</v>
      </c>
      <c r="I5" s="8" t="s">
        <v>2851</v>
      </c>
      <c r="J5" s="12" t="s">
        <v>2852</v>
      </c>
      <c r="K5" s="12" t="s">
        <v>2853</v>
      </c>
      <c r="L5" s="8" t="s">
        <v>2854</v>
      </c>
    </row>
    <row r="6">
      <c r="A6" s="8" t="s">
        <v>2814</v>
      </c>
      <c r="B6" s="7"/>
      <c r="C6" s="7"/>
      <c r="D6" s="7"/>
      <c r="E6" s="7"/>
      <c r="F6" s="7"/>
      <c r="G6" s="8" t="s">
        <v>2855</v>
      </c>
      <c r="H6" s="8" t="s">
        <v>2856</v>
      </c>
      <c r="I6" s="8" t="s">
        <v>2857</v>
      </c>
      <c r="J6" s="8" t="s">
        <v>2858</v>
      </c>
      <c r="K6" s="8" t="s">
        <v>2859</v>
      </c>
      <c r="L6" s="8" t="s">
        <v>2860</v>
      </c>
    </row>
    <row r="7">
      <c r="A7" s="8" t="s">
        <v>2815</v>
      </c>
      <c r="B7" s="7"/>
      <c r="C7" s="7"/>
      <c r="D7" s="7"/>
      <c r="E7" s="7"/>
      <c r="F7" s="7"/>
      <c r="G7" s="7"/>
      <c r="H7" s="8" t="s">
        <v>2861</v>
      </c>
      <c r="I7" s="8" t="s">
        <v>2862</v>
      </c>
      <c r="J7" s="8" t="s">
        <v>2863</v>
      </c>
      <c r="K7" s="8" t="s">
        <v>2864</v>
      </c>
      <c r="L7" s="8" t="s">
        <v>2865</v>
      </c>
    </row>
    <row r="8">
      <c r="A8" s="8" t="s">
        <v>2816</v>
      </c>
      <c r="B8" s="7"/>
      <c r="C8" s="7"/>
      <c r="D8" s="7"/>
      <c r="E8" s="7"/>
      <c r="F8" s="7"/>
      <c r="G8" s="7"/>
      <c r="H8" s="7"/>
      <c r="I8" s="8" t="s">
        <v>2866</v>
      </c>
      <c r="J8" s="8" t="s">
        <v>2867</v>
      </c>
      <c r="K8" s="8" t="s">
        <v>2868</v>
      </c>
      <c r="L8" s="8" t="s">
        <v>2869</v>
      </c>
    </row>
    <row r="9">
      <c r="A9" s="8" t="s">
        <v>2817</v>
      </c>
      <c r="B9" s="7"/>
      <c r="C9" s="7"/>
      <c r="D9" s="7"/>
      <c r="E9" s="7"/>
      <c r="F9" s="7"/>
      <c r="G9" s="7"/>
      <c r="H9" s="7"/>
      <c r="I9" s="7"/>
      <c r="J9" s="8" t="s">
        <v>2870</v>
      </c>
      <c r="K9" s="8" t="s">
        <v>2871</v>
      </c>
      <c r="L9" s="8" t="s">
        <v>2872</v>
      </c>
    </row>
    <row r="10">
      <c r="A10" s="8" t="s">
        <v>2818</v>
      </c>
      <c r="B10" s="7"/>
      <c r="C10" s="7"/>
      <c r="D10" s="7"/>
      <c r="E10" s="7"/>
      <c r="F10" s="7"/>
      <c r="G10" s="7"/>
      <c r="H10" s="7"/>
      <c r="I10" s="7"/>
      <c r="J10" s="7"/>
      <c r="K10" s="8" t="s">
        <v>2873</v>
      </c>
      <c r="L10" s="8" t="s">
        <v>2874</v>
      </c>
    </row>
    <row r="11">
      <c r="A11" s="8" t="s">
        <v>2819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 t="s">
        <v>2875</v>
      </c>
    </row>
    <row r="12">
      <c r="A12" s="8" t="s">
        <v>2820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2" t="s">
        <v>2876</v>
      </c>
      <c r="C1" s="2" t="s">
        <v>2877</v>
      </c>
      <c r="D1" s="2" t="s">
        <v>2878</v>
      </c>
      <c r="E1" s="2" t="s">
        <v>2879</v>
      </c>
      <c r="F1" s="2" t="s">
        <v>2880</v>
      </c>
      <c r="G1" s="2" t="s">
        <v>2881</v>
      </c>
      <c r="H1" s="2" t="s">
        <v>2882</v>
      </c>
      <c r="I1" s="2" t="s">
        <v>2883</v>
      </c>
      <c r="J1" s="2" t="s">
        <v>2884</v>
      </c>
      <c r="K1" s="2" t="s">
        <v>2885</v>
      </c>
      <c r="L1" s="2" t="s">
        <v>2886</v>
      </c>
      <c r="M1" s="2" t="s">
        <v>2887</v>
      </c>
      <c r="N1" s="2" t="s">
        <v>2888</v>
      </c>
      <c r="O1" s="2" t="s">
        <v>2889</v>
      </c>
      <c r="P1" s="2" t="s">
        <v>2890</v>
      </c>
      <c r="Q1" s="2" t="s">
        <v>2891</v>
      </c>
      <c r="R1" s="2" t="s">
        <v>2892</v>
      </c>
      <c r="S1" s="2" t="s">
        <v>2893</v>
      </c>
      <c r="T1" s="2" t="s">
        <v>2894</v>
      </c>
      <c r="U1" s="2" t="s">
        <v>2895</v>
      </c>
      <c r="V1" s="2" t="s">
        <v>2896</v>
      </c>
      <c r="W1" s="2" t="s">
        <v>2897</v>
      </c>
      <c r="X1" s="2" t="s">
        <v>2898</v>
      </c>
      <c r="Y1" s="1"/>
      <c r="Z1" s="1"/>
    </row>
    <row r="2" ht="16.5" customHeight="1">
      <c r="A2" s="2" t="s">
        <v>2876</v>
      </c>
      <c r="B2" s="4"/>
      <c r="C2" s="8" t="s">
        <v>2899</v>
      </c>
      <c r="D2" s="8" t="s">
        <v>2900</v>
      </c>
      <c r="E2" s="8" t="s">
        <v>2901</v>
      </c>
      <c r="F2" s="8" t="s">
        <v>2902</v>
      </c>
      <c r="G2" s="8" t="s">
        <v>2903</v>
      </c>
      <c r="H2" s="8" t="s">
        <v>2904</v>
      </c>
      <c r="I2" s="8" t="s">
        <v>2905</v>
      </c>
      <c r="J2" s="8" t="s">
        <v>2906</v>
      </c>
      <c r="K2" s="8" t="s">
        <v>2907</v>
      </c>
      <c r="L2" s="8" t="s">
        <v>2908</v>
      </c>
      <c r="M2" s="8" t="s">
        <v>2909</v>
      </c>
      <c r="N2" s="8" t="s">
        <v>2910</v>
      </c>
      <c r="O2" s="8" t="s">
        <v>2911</v>
      </c>
      <c r="P2" s="8" t="s">
        <v>2912</v>
      </c>
      <c r="Q2" s="8" t="s">
        <v>2913</v>
      </c>
      <c r="R2" s="8" t="s">
        <v>2914</v>
      </c>
      <c r="S2" s="8" t="s">
        <v>2915</v>
      </c>
      <c r="T2" s="8" t="s">
        <v>2916</v>
      </c>
      <c r="U2" s="8" t="s">
        <v>2917</v>
      </c>
      <c r="V2" s="8" t="s">
        <v>2918</v>
      </c>
      <c r="W2" s="8" t="s">
        <v>2919</v>
      </c>
      <c r="X2" s="8" t="s">
        <v>2920</v>
      </c>
    </row>
    <row r="3" ht="16.5" customHeight="1">
      <c r="A3" s="2" t="s">
        <v>2877</v>
      </c>
      <c r="B3" s="8" t="s">
        <v>2921</v>
      </c>
      <c r="C3" s="4"/>
      <c r="D3" s="8" t="s">
        <v>2922</v>
      </c>
      <c r="E3" s="8" t="s">
        <v>2923</v>
      </c>
      <c r="F3" s="8" t="s">
        <v>2924</v>
      </c>
      <c r="G3" s="8" t="s">
        <v>2925</v>
      </c>
      <c r="H3" s="8" t="s">
        <v>2926</v>
      </c>
      <c r="I3" s="8" t="s">
        <v>2927</v>
      </c>
      <c r="J3" s="8" t="s">
        <v>2928</v>
      </c>
      <c r="K3" s="8" t="s">
        <v>2929</v>
      </c>
      <c r="L3" s="8" t="s">
        <v>2930</v>
      </c>
      <c r="M3" s="8" t="s">
        <v>2931</v>
      </c>
      <c r="N3" s="8" t="s">
        <v>2932</v>
      </c>
      <c r="O3" s="8" t="s">
        <v>2933</v>
      </c>
      <c r="P3" s="8" t="s">
        <v>2934</v>
      </c>
      <c r="Q3" s="8" t="s">
        <v>2935</v>
      </c>
      <c r="R3" s="8" t="s">
        <v>2936</v>
      </c>
      <c r="S3" s="8" t="s">
        <v>2937</v>
      </c>
      <c r="T3" s="8" t="s">
        <v>2938</v>
      </c>
      <c r="U3" s="8" t="s">
        <v>2939</v>
      </c>
      <c r="V3" s="8" t="s">
        <v>2940</v>
      </c>
      <c r="W3" s="8" t="s">
        <v>2941</v>
      </c>
      <c r="X3" s="8" t="s">
        <v>2942</v>
      </c>
    </row>
    <row r="4" ht="16.5" customHeight="1">
      <c r="A4" s="2" t="s">
        <v>2878</v>
      </c>
      <c r="B4" s="8" t="s">
        <v>2943</v>
      </c>
      <c r="C4" s="8" t="s">
        <v>2944</v>
      </c>
      <c r="D4" s="4"/>
      <c r="E4" s="8" t="s">
        <v>2945</v>
      </c>
      <c r="F4" s="8" t="s">
        <v>2946</v>
      </c>
      <c r="G4" s="8" t="s">
        <v>2947</v>
      </c>
      <c r="H4" s="8" t="s">
        <v>2948</v>
      </c>
      <c r="I4" s="8" t="s">
        <v>2949</v>
      </c>
      <c r="J4" s="8" t="s">
        <v>2950</v>
      </c>
      <c r="K4" s="8" t="s">
        <v>2951</v>
      </c>
      <c r="L4" s="8" t="s">
        <v>2952</v>
      </c>
      <c r="M4" s="8" t="s">
        <v>2953</v>
      </c>
      <c r="N4" s="8" t="s">
        <v>2954</v>
      </c>
      <c r="O4" s="8" t="s">
        <v>2955</v>
      </c>
      <c r="P4" s="8" t="s">
        <v>2956</v>
      </c>
      <c r="Q4" s="8" t="s">
        <v>2957</v>
      </c>
      <c r="R4" s="8" t="s">
        <v>2958</v>
      </c>
      <c r="S4" s="8" t="s">
        <v>2959</v>
      </c>
      <c r="T4" s="8" t="s">
        <v>2960</v>
      </c>
      <c r="U4" s="8" t="s">
        <v>2961</v>
      </c>
      <c r="V4" s="8" t="s">
        <v>2962</v>
      </c>
      <c r="W4" s="8" t="s">
        <v>2963</v>
      </c>
      <c r="X4" s="8" t="s">
        <v>2964</v>
      </c>
    </row>
    <row r="5" ht="16.5" customHeight="1">
      <c r="A5" s="2" t="s">
        <v>2879</v>
      </c>
      <c r="B5" s="8" t="s">
        <v>2965</v>
      </c>
      <c r="C5" s="8" t="s">
        <v>2966</v>
      </c>
      <c r="D5" s="8" t="s">
        <v>2967</v>
      </c>
      <c r="E5" s="4"/>
      <c r="F5" s="8" t="s">
        <v>2968</v>
      </c>
      <c r="G5" s="8" t="s">
        <v>2969</v>
      </c>
      <c r="H5" s="8" t="s">
        <v>2970</v>
      </c>
      <c r="I5" s="8" t="s">
        <v>2971</v>
      </c>
      <c r="J5" s="8" t="s">
        <v>2972</v>
      </c>
      <c r="K5" s="8" t="s">
        <v>2973</v>
      </c>
      <c r="L5" s="8" t="s">
        <v>2974</v>
      </c>
      <c r="M5" s="8" t="s">
        <v>2975</v>
      </c>
      <c r="N5" s="8" t="s">
        <v>2976</v>
      </c>
      <c r="O5" s="8" t="s">
        <v>2977</v>
      </c>
      <c r="P5" s="8" t="s">
        <v>2978</v>
      </c>
      <c r="Q5" s="8" t="s">
        <v>2979</v>
      </c>
      <c r="R5" s="8" t="s">
        <v>2980</v>
      </c>
      <c r="S5" s="8" t="s">
        <v>2981</v>
      </c>
      <c r="T5" s="8" t="s">
        <v>2982</v>
      </c>
      <c r="U5" s="8" t="s">
        <v>2983</v>
      </c>
      <c r="V5" s="8" t="s">
        <v>2984</v>
      </c>
      <c r="W5" s="8" t="s">
        <v>2985</v>
      </c>
      <c r="X5" s="8" t="s">
        <v>2986</v>
      </c>
    </row>
    <row r="6" ht="16.5" customHeight="1">
      <c r="A6" s="2" t="s">
        <v>2880</v>
      </c>
      <c r="B6" s="8" t="s">
        <v>2987</v>
      </c>
      <c r="C6" s="8" t="s">
        <v>2988</v>
      </c>
      <c r="D6" s="8" t="s">
        <v>2989</v>
      </c>
      <c r="E6" s="8" t="s">
        <v>2990</v>
      </c>
      <c r="F6" s="4"/>
      <c r="G6" s="8" t="s">
        <v>2991</v>
      </c>
      <c r="H6" s="8" t="s">
        <v>2992</v>
      </c>
      <c r="I6" s="8" t="s">
        <v>2993</v>
      </c>
      <c r="J6" s="8" t="s">
        <v>2994</v>
      </c>
      <c r="K6" s="8" t="s">
        <v>2995</v>
      </c>
      <c r="L6" s="8" t="s">
        <v>2996</v>
      </c>
      <c r="M6" s="8" t="s">
        <v>2997</v>
      </c>
      <c r="N6" s="8" t="s">
        <v>2998</v>
      </c>
      <c r="O6" s="8" t="s">
        <v>2999</v>
      </c>
      <c r="P6" s="8" t="s">
        <v>3000</v>
      </c>
      <c r="Q6" s="8" t="s">
        <v>3001</v>
      </c>
      <c r="R6" s="8" t="s">
        <v>3002</v>
      </c>
      <c r="S6" s="8" t="s">
        <v>2997</v>
      </c>
      <c r="T6" s="8" t="s">
        <v>3003</v>
      </c>
      <c r="U6" s="8" t="s">
        <v>3004</v>
      </c>
      <c r="V6" s="8" t="s">
        <v>3005</v>
      </c>
      <c r="W6" s="8" t="s">
        <v>3006</v>
      </c>
      <c r="X6" s="8" t="s">
        <v>3007</v>
      </c>
    </row>
    <row r="7" ht="16.5" customHeight="1">
      <c r="A7" s="2" t="s">
        <v>2881</v>
      </c>
      <c r="B7" s="8" t="s">
        <v>3008</v>
      </c>
      <c r="C7" s="8" t="s">
        <v>3009</v>
      </c>
      <c r="D7" s="8" t="s">
        <v>3010</v>
      </c>
      <c r="E7" s="8" t="s">
        <v>3011</v>
      </c>
      <c r="F7" s="8" t="s">
        <v>3012</v>
      </c>
      <c r="G7" s="4"/>
      <c r="H7" s="8" t="s">
        <v>3013</v>
      </c>
      <c r="I7" s="8" t="s">
        <v>3014</v>
      </c>
      <c r="J7" s="8" t="s">
        <v>3015</v>
      </c>
      <c r="K7" s="8" t="s">
        <v>3016</v>
      </c>
      <c r="L7" s="8" t="s">
        <v>3017</v>
      </c>
      <c r="M7" s="8" t="s">
        <v>3018</v>
      </c>
      <c r="N7" s="8" t="s">
        <v>3019</v>
      </c>
      <c r="O7" s="8" t="s">
        <v>3020</v>
      </c>
      <c r="P7" s="8" t="s">
        <v>3021</v>
      </c>
      <c r="Q7" s="8" t="s">
        <v>3022</v>
      </c>
      <c r="R7" s="8" t="s">
        <v>3023</v>
      </c>
      <c r="S7" s="8" t="s">
        <v>3024</v>
      </c>
      <c r="T7" s="8" t="s">
        <v>3025</v>
      </c>
      <c r="U7" s="8" t="s">
        <v>3026</v>
      </c>
      <c r="V7" s="8" t="s">
        <v>3027</v>
      </c>
      <c r="W7" s="8" t="s">
        <v>3028</v>
      </c>
      <c r="X7" s="8" t="s">
        <v>3029</v>
      </c>
    </row>
    <row r="8" ht="16.5" customHeight="1">
      <c r="A8" s="2" t="s">
        <v>2882</v>
      </c>
      <c r="B8" s="8" t="s">
        <v>3030</v>
      </c>
      <c r="C8" s="8" t="s">
        <v>3031</v>
      </c>
      <c r="D8" s="8" t="s">
        <v>3032</v>
      </c>
      <c r="E8" s="8" t="s">
        <v>3033</v>
      </c>
      <c r="F8" s="8" t="s">
        <v>3034</v>
      </c>
      <c r="G8" s="8" t="s">
        <v>3035</v>
      </c>
      <c r="H8" s="4"/>
      <c r="I8" s="8" t="s">
        <v>3036</v>
      </c>
      <c r="J8" s="8" t="s">
        <v>3037</v>
      </c>
      <c r="K8" s="8" t="s">
        <v>3038</v>
      </c>
      <c r="L8" s="8" t="s">
        <v>3039</v>
      </c>
      <c r="M8" s="8" t="s">
        <v>3040</v>
      </c>
      <c r="N8" s="8" t="s">
        <v>3041</v>
      </c>
      <c r="O8" s="8" t="s">
        <v>3042</v>
      </c>
      <c r="P8" s="8" t="s">
        <v>3043</v>
      </c>
      <c r="Q8" s="8" t="s">
        <v>3044</v>
      </c>
      <c r="R8" s="8" t="s">
        <v>3045</v>
      </c>
      <c r="S8" s="8" t="s">
        <v>3046</v>
      </c>
      <c r="T8" s="8" t="s">
        <v>3047</v>
      </c>
      <c r="U8" s="8" t="s">
        <v>3048</v>
      </c>
      <c r="V8" s="8" t="s">
        <v>3049</v>
      </c>
      <c r="W8" s="8" t="s">
        <v>3050</v>
      </c>
      <c r="X8" s="8" t="s">
        <v>3051</v>
      </c>
    </row>
    <row r="9" ht="16.5" customHeight="1">
      <c r="A9" s="2" t="s">
        <v>2883</v>
      </c>
      <c r="B9" s="8" t="s">
        <v>3052</v>
      </c>
      <c r="C9" s="8" t="s">
        <v>3053</v>
      </c>
      <c r="D9" s="8" t="s">
        <v>3054</v>
      </c>
      <c r="E9" s="8" t="s">
        <v>3055</v>
      </c>
      <c r="F9" s="8" t="s">
        <v>3056</v>
      </c>
      <c r="G9" s="8" t="s">
        <v>3057</v>
      </c>
      <c r="H9" s="8" t="s">
        <v>3058</v>
      </c>
      <c r="I9" s="4"/>
      <c r="J9" s="8" t="s">
        <v>3059</v>
      </c>
      <c r="K9" s="8" t="s">
        <v>3060</v>
      </c>
      <c r="L9" s="8" t="s">
        <v>3061</v>
      </c>
      <c r="M9" s="8" t="s">
        <v>3062</v>
      </c>
      <c r="N9" s="8" t="s">
        <v>3063</v>
      </c>
      <c r="O9" s="8" t="s">
        <v>3064</v>
      </c>
      <c r="P9" s="8" t="s">
        <v>3065</v>
      </c>
      <c r="Q9" s="8" t="s">
        <v>3066</v>
      </c>
      <c r="R9" s="8" t="s">
        <v>3067</v>
      </c>
      <c r="S9" s="8" t="s">
        <v>3068</v>
      </c>
      <c r="T9" s="8" t="s">
        <v>3069</v>
      </c>
      <c r="U9" s="8" t="s">
        <v>3070</v>
      </c>
      <c r="V9" s="8" t="s">
        <v>3071</v>
      </c>
      <c r="W9" s="8" t="s">
        <v>3072</v>
      </c>
      <c r="X9" s="8" t="s">
        <v>3073</v>
      </c>
    </row>
    <row r="10" ht="16.5" customHeight="1">
      <c r="A10" s="2" t="s">
        <v>2884</v>
      </c>
      <c r="B10" s="8" t="s">
        <v>3074</v>
      </c>
      <c r="C10" s="8" t="s">
        <v>3075</v>
      </c>
      <c r="D10" s="8" t="s">
        <v>3076</v>
      </c>
      <c r="E10" s="8" t="s">
        <v>3077</v>
      </c>
      <c r="F10" s="8" t="s">
        <v>3078</v>
      </c>
      <c r="G10" s="8" t="s">
        <v>3079</v>
      </c>
      <c r="H10" s="8" t="s">
        <v>3080</v>
      </c>
      <c r="I10" s="8" t="s">
        <v>3081</v>
      </c>
      <c r="J10" s="4"/>
      <c r="K10" s="8" t="s">
        <v>3082</v>
      </c>
      <c r="L10" s="8" t="s">
        <v>3083</v>
      </c>
      <c r="M10" s="8" t="s">
        <v>3084</v>
      </c>
      <c r="N10" s="8" t="s">
        <v>3085</v>
      </c>
      <c r="O10" s="8" t="s">
        <v>3086</v>
      </c>
      <c r="P10" s="8" t="s">
        <v>3087</v>
      </c>
      <c r="Q10" s="8" t="s">
        <v>3088</v>
      </c>
      <c r="R10" s="8" t="s">
        <v>3089</v>
      </c>
      <c r="S10" s="8" t="s">
        <v>3090</v>
      </c>
      <c r="T10" s="8" t="s">
        <v>3091</v>
      </c>
      <c r="U10" s="8" t="s">
        <v>3092</v>
      </c>
      <c r="V10" s="8" t="s">
        <v>3093</v>
      </c>
      <c r="W10" s="8" t="s">
        <v>3094</v>
      </c>
      <c r="X10" s="8" t="s">
        <v>3095</v>
      </c>
    </row>
    <row r="11" ht="16.5" customHeight="1">
      <c r="A11" s="2" t="s">
        <v>2885</v>
      </c>
      <c r="B11" s="8" t="s">
        <v>3096</v>
      </c>
      <c r="C11" s="8" t="s">
        <v>3097</v>
      </c>
      <c r="D11" s="8" t="s">
        <v>3098</v>
      </c>
      <c r="E11" s="8" t="s">
        <v>3099</v>
      </c>
      <c r="F11" s="8" t="s">
        <v>3100</v>
      </c>
      <c r="G11" s="8" t="s">
        <v>3101</v>
      </c>
      <c r="H11" s="8" t="s">
        <v>3102</v>
      </c>
      <c r="I11" s="8" t="s">
        <v>3103</v>
      </c>
      <c r="J11" s="8" t="s">
        <v>3104</v>
      </c>
      <c r="K11" s="4"/>
      <c r="L11" s="8" t="s">
        <v>3105</v>
      </c>
      <c r="M11" s="8" t="s">
        <v>3106</v>
      </c>
      <c r="N11" s="8" t="s">
        <v>3107</v>
      </c>
      <c r="O11" s="8" t="s">
        <v>3108</v>
      </c>
      <c r="P11" s="8" t="s">
        <v>3109</v>
      </c>
      <c r="Q11" s="8" t="s">
        <v>3110</v>
      </c>
      <c r="R11" s="8" t="s">
        <v>3111</v>
      </c>
      <c r="S11" s="8" t="s">
        <v>3112</v>
      </c>
      <c r="T11" s="8" t="s">
        <v>3113</v>
      </c>
      <c r="U11" s="8" t="s">
        <v>3114</v>
      </c>
      <c r="V11" s="8" t="s">
        <v>3115</v>
      </c>
      <c r="W11" s="8" t="s">
        <v>3116</v>
      </c>
      <c r="X11" s="8" t="s">
        <v>3117</v>
      </c>
    </row>
    <row r="12" ht="16.5" customHeight="1">
      <c r="A12" s="2" t="s">
        <v>2886</v>
      </c>
      <c r="B12" s="8" t="s">
        <v>3118</v>
      </c>
      <c r="C12" s="8" t="s">
        <v>3119</v>
      </c>
      <c r="D12" s="8" t="s">
        <v>3120</v>
      </c>
      <c r="E12" s="8" t="s">
        <v>3121</v>
      </c>
      <c r="F12" s="8" t="s">
        <v>3122</v>
      </c>
      <c r="G12" s="8" t="s">
        <v>3123</v>
      </c>
      <c r="H12" s="8" t="s">
        <v>3124</v>
      </c>
      <c r="I12" s="8" t="s">
        <v>3125</v>
      </c>
      <c r="J12" s="8" t="s">
        <v>3126</v>
      </c>
      <c r="K12" s="8" t="s">
        <v>3127</v>
      </c>
      <c r="L12" s="4"/>
      <c r="M12" s="8" t="s">
        <v>3128</v>
      </c>
      <c r="N12" s="8" t="s">
        <v>3129</v>
      </c>
      <c r="O12" s="8" t="s">
        <v>3130</v>
      </c>
      <c r="P12" s="8" t="s">
        <v>3131</v>
      </c>
      <c r="Q12" s="8" t="s">
        <v>3132</v>
      </c>
      <c r="R12" s="8" t="s">
        <v>3133</v>
      </c>
      <c r="S12" s="8" t="s">
        <v>3134</v>
      </c>
      <c r="T12" s="8" t="s">
        <v>3135</v>
      </c>
      <c r="U12" s="8" t="s">
        <v>3136</v>
      </c>
      <c r="V12" s="8" t="s">
        <v>3137</v>
      </c>
      <c r="W12" s="8" t="s">
        <v>3138</v>
      </c>
      <c r="X12" s="8" t="s">
        <v>3139</v>
      </c>
    </row>
    <row r="13" ht="16.5" customHeight="1">
      <c r="A13" s="2" t="s">
        <v>2887</v>
      </c>
      <c r="B13" s="8" t="s">
        <v>3140</v>
      </c>
      <c r="C13" s="8" t="s">
        <v>3141</v>
      </c>
      <c r="D13" s="8" t="s">
        <v>3142</v>
      </c>
      <c r="E13" s="8" t="s">
        <v>3143</v>
      </c>
      <c r="F13" s="8" t="s">
        <v>3144</v>
      </c>
      <c r="G13" s="8" t="s">
        <v>3145</v>
      </c>
      <c r="H13" s="8" t="s">
        <v>3146</v>
      </c>
      <c r="I13" s="8" t="s">
        <v>3147</v>
      </c>
      <c r="J13" s="8" t="s">
        <v>3148</v>
      </c>
      <c r="K13" s="8" t="s">
        <v>3149</v>
      </c>
      <c r="L13" s="8" t="s">
        <v>3150</v>
      </c>
      <c r="M13" s="4"/>
      <c r="N13" s="8" t="s">
        <v>3151</v>
      </c>
      <c r="O13" s="8" t="s">
        <v>3152</v>
      </c>
      <c r="P13" s="8" t="s">
        <v>3153</v>
      </c>
      <c r="Q13" s="8" t="s">
        <v>3154</v>
      </c>
      <c r="R13" s="8" t="s">
        <v>3155</v>
      </c>
      <c r="S13" s="8" t="s">
        <v>3156</v>
      </c>
      <c r="T13" s="8" t="s">
        <v>3157</v>
      </c>
      <c r="U13" s="8" t="s">
        <v>3158</v>
      </c>
      <c r="V13" s="8" t="s">
        <v>3159</v>
      </c>
      <c r="W13" s="8" t="s">
        <v>3160</v>
      </c>
      <c r="X13" s="8" t="s">
        <v>3161</v>
      </c>
    </row>
    <row r="14" ht="16.5" customHeight="1">
      <c r="A14" s="2" t="s">
        <v>2888</v>
      </c>
      <c r="B14" s="8" t="s">
        <v>3162</v>
      </c>
      <c r="C14" s="8" t="s">
        <v>3163</v>
      </c>
      <c r="D14" s="8" t="s">
        <v>3164</v>
      </c>
      <c r="E14" s="8" t="s">
        <v>3165</v>
      </c>
      <c r="F14" s="8" t="s">
        <v>3166</v>
      </c>
      <c r="G14" s="8" t="s">
        <v>3167</v>
      </c>
      <c r="H14" s="8" t="s">
        <v>3168</v>
      </c>
      <c r="I14" s="8" t="s">
        <v>3169</v>
      </c>
      <c r="J14" s="8" t="s">
        <v>3170</v>
      </c>
      <c r="K14" s="8" t="s">
        <v>3171</v>
      </c>
      <c r="L14" s="8" t="s">
        <v>3172</v>
      </c>
      <c r="M14" s="8" t="s">
        <v>3173</v>
      </c>
      <c r="N14" s="4"/>
      <c r="O14" s="8" t="s">
        <v>3174</v>
      </c>
      <c r="P14" s="8" t="s">
        <v>3175</v>
      </c>
      <c r="Q14" s="8" t="s">
        <v>3176</v>
      </c>
      <c r="R14" s="8" t="s">
        <v>3177</v>
      </c>
      <c r="S14" s="8" t="s">
        <v>3178</v>
      </c>
      <c r="T14" s="8" t="s">
        <v>3179</v>
      </c>
      <c r="U14" s="13" t="s">
        <v>3180</v>
      </c>
      <c r="V14" s="8" t="s">
        <v>3181</v>
      </c>
      <c r="W14" s="8" t="s">
        <v>3182</v>
      </c>
      <c r="X14" s="8" t="s">
        <v>3183</v>
      </c>
    </row>
    <row r="15" ht="16.5" customHeight="1">
      <c r="A15" s="2" t="s">
        <v>2889</v>
      </c>
      <c r="B15" s="8" t="s">
        <v>3184</v>
      </c>
      <c r="C15" s="8" t="s">
        <v>3185</v>
      </c>
      <c r="D15" s="8" t="s">
        <v>3186</v>
      </c>
      <c r="E15" s="8" t="s">
        <v>3187</v>
      </c>
      <c r="F15" s="8" t="s">
        <v>3188</v>
      </c>
      <c r="G15" s="8" t="s">
        <v>3189</v>
      </c>
      <c r="H15" s="8" t="s">
        <v>3190</v>
      </c>
      <c r="I15" s="8" t="s">
        <v>3191</v>
      </c>
      <c r="J15" s="8" t="s">
        <v>3192</v>
      </c>
      <c r="K15" s="8" t="s">
        <v>3193</v>
      </c>
      <c r="L15" s="8" t="s">
        <v>3194</v>
      </c>
      <c r="M15" s="8" t="s">
        <v>3195</v>
      </c>
      <c r="N15" s="8" t="s">
        <v>3196</v>
      </c>
      <c r="O15" s="4"/>
      <c r="P15" s="8" t="s">
        <v>3197</v>
      </c>
      <c r="Q15" s="8" t="s">
        <v>3198</v>
      </c>
      <c r="R15" s="8" t="s">
        <v>3199</v>
      </c>
      <c r="S15" s="8" t="s">
        <v>3200</v>
      </c>
      <c r="T15" s="8" t="s">
        <v>3201</v>
      </c>
      <c r="U15" s="8" t="s">
        <v>3202</v>
      </c>
      <c r="V15" s="8" t="s">
        <v>3203</v>
      </c>
      <c r="W15" s="8" t="s">
        <v>3204</v>
      </c>
      <c r="X15" s="8" t="s">
        <v>3205</v>
      </c>
    </row>
    <row r="16" ht="16.5" customHeight="1">
      <c r="A16" s="2" t="s">
        <v>2890</v>
      </c>
      <c r="B16" s="8" t="s">
        <v>3206</v>
      </c>
      <c r="C16" s="8" t="s">
        <v>3207</v>
      </c>
      <c r="D16" s="8" t="s">
        <v>3208</v>
      </c>
      <c r="E16" s="8" t="s">
        <v>3209</v>
      </c>
      <c r="F16" s="8" t="s">
        <v>3210</v>
      </c>
      <c r="G16" s="8" t="s">
        <v>3211</v>
      </c>
      <c r="H16" s="8" t="s">
        <v>3212</v>
      </c>
      <c r="I16" s="8" t="s">
        <v>3213</v>
      </c>
      <c r="J16" s="8" t="s">
        <v>3214</v>
      </c>
      <c r="K16" s="8" t="s">
        <v>3215</v>
      </c>
      <c r="L16" s="8" t="s">
        <v>3216</v>
      </c>
      <c r="M16" s="8" t="s">
        <v>3217</v>
      </c>
      <c r="N16" s="8" t="s">
        <v>3218</v>
      </c>
      <c r="O16" s="8" t="s">
        <v>3219</v>
      </c>
      <c r="P16" s="4"/>
      <c r="Q16" s="8" t="s">
        <v>3220</v>
      </c>
      <c r="R16" s="8" t="s">
        <v>3221</v>
      </c>
      <c r="S16" s="8" t="s">
        <v>3222</v>
      </c>
      <c r="T16" s="8" t="s">
        <v>3223</v>
      </c>
      <c r="U16" s="8" t="s">
        <v>3224</v>
      </c>
      <c r="V16" s="8" t="s">
        <v>3225</v>
      </c>
      <c r="W16" s="8" t="s">
        <v>3226</v>
      </c>
      <c r="X16" s="13" t="s">
        <v>3227</v>
      </c>
    </row>
    <row r="17" ht="16.5" customHeight="1">
      <c r="A17" s="2" t="s">
        <v>2891</v>
      </c>
      <c r="B17" s="8" t="s">
        <v>3228</v>
      </c>
      <c r="C17" s="8" t="s">
        <v>3229</v>
      </c>
      <c r="D17" s="8" t="s">
        <v>3230</v>
      </c>
      <c r="E17" s="8" t="s">
        <v>3231</v>
      </c>
      <c r="F17" s="8" t="s">
        <v>3232</v>
      </c>
      <c r="G17" s="8" t="s">
        <v>3233</v>
      </c>
      <c r="H17" s="8" t="s">
        <v>3234</v>
      </c>
      <c r="I17" s="8" t="s">
        <v>3235</v>
      </c>
      <c r="J17" s="8" t="s">
        <v>3236</v>
      </c>
      <c r="K17" s="8" t="s">
        <v>3237</v>
      </c>
      <c r="L17" s="8" t="s">
        <v>3238</v>
      </c>
      <c r="M17" s="8" t="s">
        <v>3239</v>
      </c>
      <c r="N17" s="8" t="s">
        <v>3240</v>
      </c>
      <c r="O17" s="8" t="s">
        <v>3241</v>
      </c>
      <c r="P17" s="8" t="s">
        <v>3242</v>
      </c>
      <c r="Q17" s="4"/>
      <c r="R17" s="8" t="s">
        <v>3243</v>
      </c>
      <c r="S17" s="8" t="s">
        <v>3244</v>
      </c>
      <c r="T17" s="8" t="s">
        <v>3245</v>
      </c>
      <c r="U17" s="8" t="s">
        <v>3246</v>
      </c>
      <c r="V17" s="8" t="s">
        <v>3247</v>
      </c>
      <c r="W17" s="8" t="s">
        <v>3248</v>
      </c>
      <c r="X17" s="8" t="s">
        <v>3249</v>
      </c>
    </row>
    <row r="18" ht="16.5" customHeight="1">
      <c r="A18" s="2" t="s">
        <v>2892</v>
      </c>
      <c r="B18" s="8" t="s">
        <v>3250</v>
      </c>
      <c r="C18" s="8" t="s">
        <v>3251</v>
      </c>
      <c r="D18" s="8" t="s">
        <v>3252</v>
      </c>
      <c r="E18" s="8" t="s">
        <v>3253</v>
      </c>
      <c r="F18" s="8" t="s">
        <v>3254</v>
      </c>
      <c r="G18" s="8" t="s">
        <v>3255</v>
      </c>
      <c r="H18" s="8" t="s">
        <v>3256</v>
      </c>
      <c r="I18" s="8" t="s">
        <v>3257</v>
      </c>
      <c r="J18" s="8" t="s">
        <v>3258</v>
      </c>
      <c r="K18" s="8" t="s">
        <v>3259</v>
      </c>
      <c r="L18" s="8" t="s">
        <v>3260</v>
      </c>
      <c r="M18" s="8" t="s">
        <v>3261</v>
      </c>
      <c r="N18" s="8" t="s">
        <v>3262</v>
      </c>
      <c r="O18" s="8" t="s">
        <v>3263</v>
      </c>
      <c r="P18" s="8" t="s">
        <v>3264</v>
      </c>
      <c r="Q18" s="8" t="s">
        <v>3265</v>
      </c>
      <c r="R18" s="4"/>
      <c r="S18" s="8" t="s">
        <v>3266</v>
      </c>
      <c r="T18" s="8" t="s">
        <v>3267</v>
      </c>
      <c r="U18" s="8" t="s">
        <v>3268</v>
      </c>
      <c r="V18" s="8" t="s">
        <v>3269</v>
      </c>
      <c r="W18" s="8" t="s">
        <v>3270</v>
      </c>
      <c r="X18" s="8" t="s">
        <v>3271</v>
      </c>
    </row>
    <row r="19" ht="16.5" customHeight="1">
      <c r="A19" s="2" t="s">
        <v>2893</v>
      </c>
      <c r="B19" s="8" t="s">
        <v>3272</v>
      </c>
      <c r="C19" s="8" t="s">
        <v>3273</v>
      </c>
      <c r="D19" s="8" t="s">
        <v>3274</v>
      </c>
      <c r="E19" s="8" t="s">
        <v>3275</v>
      </c>
      <c r="F19" s="8" t="s">
        <v>3144</v>
      </c>
      <c r="G19" s="8" t="s">
        <v>3276</v>
      </c>
      <c r="H19" s="8" t="s">
        <v>3277</v>
      </c>
      <c r="I19" s="8" t="s">
        <v>3278</v>
      </c>
      <c r="J19" s="8" t="s">
        <v>3279</v>
      </c>
      <c r="K19" s="8" t="s">
        <v>3280</v>
      </c>
      <c r="L19" s="8" t="s">
        <v>3281</v>
      </c>
      <c r="M19" s="8" t="s">
        <v>3282</v>
      </c>
      <c r="N19" s="8" t="s">
        <v>3283</v>
      </c>
      <c r="O19" s="8" t="s">
        <v>3284</v>
      </c>
      <c r="P19" s="8" t="s">
        <v>3285</v>
      </c>
      <c r="Q19" s="8" t="s">
        <v>3286</v>
      </c>
      <c r="R19" s="8" t="s">
        <v>3287</v>
      </c>
      <c r="S19" s="4"/>
      <c r="T19" s="8" t="s">
        <v>3288</v>
      </c>
      <c r="U19" s="8" t="s">
        <v>3289</v>
      </c>
      <c r="V19" s="8" t="s">
        <v>3290</v>
      </c>
      <c r="W19" s="8" t="s">
        <v>3291</v>
      </c>
      <c r="X19" s="8" t="s">
        <v>3292</v>
      </c>
    </row>
    <row r="20" ht="16.5" customHeight="1">
      <c r="A20" s="2" t="s">
        <v>2894</v>
      </c>
      <c r="B20" s="8" t="s">
        <v>3293</v>
      </c>
      <c r="C20" s="8" t="s">
        <v>3294</v>
      </c>
      <c r="D20" s="8" t="s">
        <v>3295</v>
      </c>
      <c r="E20" s="8" t="s">
        <v>3296</v>
      </c>
      <c r="F20" s="8" t="s">
        <v>3297</v>
      </c>
      <c r="G20" s="8" t="s">
        <v>3298</v>
      </c>
      <c r="H20" s="8" t="s">
        <v>3299</v>
      </c>
      <c r="I20" s="8" t="s">
        <v>3300</v>
      </c>
      <c r="J20" s="8" t="s">
        <v>3301</v>
      </c>
      <c r="K20" s="8" t="s">
        <v>3302</v>
      </c>
      <c r="L20" s="8" t="s">
        <v>3303</v>
      </c>
      <c r="M20" s="8" t="s">
        <v>3304</v>
      </c>
      <c r="N20" s="8" t="s">
        <v>3305</v>
      </c>
      <c r="O20" s="8" t="s">
        <v>3306</v>
      </c>
      <c r="P20" s="8" t="s">
        <v>3307</v>
      </c>
      <c r="Q20" s="8" t="s">
        <v>3308</v>
      </c>
      <c r="R20" s="8" t="s">
        <v>3309</v>
      </c>
      <c r="S20" s="8" t="s">
        <v>3310</v>
      </c>
      <c r="T20" s="4"/>
      <c r="U20" s="8" t="s">
        <v>3311</v>
      </c>
      <c r="V20" s="8" t="s">
        <v>3297</v>
      </c>
      <c r="W20" s="8" t="s">
        <v>3312</v>
      </c>
      <c r="X20" s="8" t="s">
        <v>3313</v>
      </c>
    </row>
    <row r="21" ht="16.5" customHeight="1">
      <c r="A21" s="2" t="s">
        <v>2895</v>
      </c>
      <c r="B21" s="8" t="s">
        <v>3314</v>
      </c>
      <c r="C21" s="8" t="s">
        <v>3315</v>
      </c>
      <c r="D21" s="8" t="s">
        <v>3316</v>
      </c>
      <c r="E21" s="8" t="s">
        <v>3317</v>
      </c>
      <c r="F21" s="8" t="s">
        <v>3318</v>
      </c>
      <c r="G21" s="8" t="s">
        <v>3319</v>
      </c>
      <c r="H21" s="8" t="s">
        <v>3320</v>
      </c>
      <c r="I21" s="8" t="s">
        <v>3321</v>
      </c>
      <c r="J21" s="8" t="s">
        <v>3322</v>
      </c>
      <c r="K21" s="8" t="s">
        <v>3323</v>
      </c>
      <c r="L21" s="8" t="s">
        <v>3324</v>
      </c>
      <c r="M21" s="8" t="s">
        <v>3325</v>
      </c>
      <c r="N21" s="13" t="s">
        <v>3326</v>
      </c>
      <c r="O21" s="8" t="s">
        <v>3327</v>
      </c>
      <c r="P21" s="8" t="s">
        <v>3328</v>
      </c>
      <c r="Q21" s="8" t="s">
        <v>3329</v>
      </c>
      <c r="R21" s="8" t="s">
        <v>3330</v>
      </c>
      <c r="S21" s="8" t="s">
        <v>3331</v>
      </c>
      <c r="T21" s="8" t="s">
        <v>3332</v>
      </c>
      <c r="U21" s="4"/>
      <c r="V21" s="8" t="s">
        <v>3333</v>
      </c>
      <c r="W21" s="8" t="s">
        <v>3334</v>
      </c>
      <c r="X21" s="8" t="s">
        <v>3335</v>
      </c>
    </row>
    <row r="22" ht="16.5" customHeight="1">
      <c r="A22" s="2" t="s">
        <v>2896</v>
      </c>
      <c r="B22" s="8" t="s">
        <v>3336</v>
      </c>
      <c r="C22" s="8" t="s">
        <v>3337</v>
      </c>
      <c r="D22" s="8" t="s">
        <v>3338</v>
      </c>
      <c r="E22" s="8" t="s">
        <v>3339</v>
      </c>
      <c r="F22" s="8" t="s">
        <v>3340</v>
      </c>
      <c r="G22" s="8" t="s">
        <v>3341</v>
      </c>
      <c r="H22" s="8" t="s">
        <v>3342</v>
      </c>
      <c r="I22" s="8" t="s">
        <v>3343</v>
      </c>
      <c r="J22" s="8" t="s">
        <v>3344</v>
      </c>
      <c r="K22" s="8" t="s">
        <v>3345</v>
      </c>
      <c r="L22" s="8" t="s">
        <v>3346</v>
      </c>
      <c r="M22" s="8" t="s">
        <v>3347</v>
      </c>
      <c r="N22" s="8" t="s">
        <v>3348</v>
      </c>
      <c r="O22" s="8" t="s">
        <v>3349</v>
      </c>
      <c r="P22" s="8" t="s">
        <v>3350</v>
      </c>
      <c r="Q22" s="8" t="s">
        <v>3351</v>
      </c>
      <c r="R22" s="8" t="s">
        <v>3352</v>
      </c>
      <c r="S22" s="8" t="s">
        <v>3353</v>
      </c>
      <c r="T22" s="8" t="s">
        <v>3003</v>
      </c>
      <c r="U22" s="8" t="s">
        <v>3354</v>
      </c>
      <c r="V22" s="4"/>
      <c r="W22" s="8" t="s">
        <v>3355</v>
      </c>
      <c r="X22" s="8" t="s">
        <v>3356</v>
      </c>
    </row>
    <row r="23" ht="16.5" customHeight="1">
      <c r="A23" s="2" t="s">
        <v>2897</v>
      </c>
      <c r="B23" s="8" t="s">
        <v>3357</v>
      </c>
      <c r="C23" s="8" t="s">
        <v>3358</v>
      </c>
      <c r="D23" s="8" t="s">
        <v>3359</v>
      </c>
      <c r="E23" s="8" t="s">
        <v>3360</v>
      </c>
      <c r="F23" s="8" t="s">
        <v>3361</v>
      </c>
      <c r="G23" s="8" t="s">
        <v>3362</v>
      </c>
      <c r="H23" s="8" t="s">
        <v>3363</v>
      </c>
      <c r="I23" s="8" t="s">
        <v>3364</v>
      </c>
      <c r="J23" s="8" t="s">
        <v>3365</v>
      </c>
      <c r="K23" s="8" t="s">
        <v>3366</v>
      </c>
      <c r="L23" s="8" t="s">
        <v>3367</v>
      </c>
      <c r="M23" s="8" t="s">
        <v>3368</v>
      </c>
      <c r="N23" s="8" t="s">
        <v>3369</v>
      </c>
      <c r="O23" s="8" t="s">
        <v>3370</v>
      </c>
      <c r="P23" s="8" t="s">
        <v>3371</v>
      </c>
      <c r="Q23" s="8" t="s">
        <v>3372</v>
      </c>
      <c r="R23" s="8" t="s">
        <v>3373</v>
      </c>
      <c r="S23" s="8" t="s">
        <v>3374</v>
      </c>
      <c r="T23" s="8" t="s">
        <v>3375</v>
      </c>
      <c r="U23" s="8" t="s">
        <v>3376</v>
      </c>
      <c r="V23" s="8" t="s">
        <v>3377</v>
      </c>
      <c r="W23" s="4"/>
      <c r="X23" s="8" t="s">
        <v>3378</v>
      </c>
    </row>
    <row r="24" ht="16.5" customHeight="1">
      <c r="A24" s="2" t="s">
        <v>2898</v>
      </c>
      <c r="B24" s="8" t="s">
        <v>3379</v>
      </c>
      <c r="C24" s="8" t="s">
        <v>3380</v>
      </c>
      <c r="D24" s="8" t="s">
        <v>3381</v>
      </c>
      <c r="E24" s="8" t="s">
        <v>3382</v>
      </c>
      <c r="F24" s="8" t="s">
        <v>3383</v>
      </c>
      <c r="G24" s="8" t="s">
        <v>3384</v>
      </c>
      <c r="H24" s="8" t="s">
        <v>3385</v>
      </c>
      <c r="I24" s="8" t="s">
        <v>3386</v>
      </c>
      <c r="J24" s="8" t="s">
        <v>3387</v>
      </c>
      <c r="K24" s="8" t="s">
        <v>3388</v>
      </c>
      <c r="L24" s="8" t="s">
        <v>3389</v>
      </c>
      <c r="M24" s="8" t="s">
        <v>3390</v>
      </c>
      <c r="N24" s="8" t="s">
        <v>3391</v>
      </c>
      <c r="O24" s="8" t="s">
        <v>3392</v>
      </c>
      <c r="P24" s="13" t="s">
        <v>3393</v>
      </c>
      <c r="Q24" s="8" t="s">
        <v>3394</v>
      </c>
      <c r="R24" s="8" t="s">
        <v>3395</v>
      </c>
      <c r="S24" s="8" t="s">
        <v>3396</v>
      </c>
      <c r="T24" s="8" t="s">
        <v>3397</v>
      </c>
      <c r="U24" s="8" t="s">
        <v>3398</v>
      </c>
      <c r="V24" s="8" t="s">
        <v>3399</v>
      </c>
      <c r="W24" s="8" t="s">
        <v>3400</v>
      </c>
      <c r="X24" s="4"/>
    </row>
    <row r="25" ht="16.5" customHeight="1">
      <c r="A25" s="1"/>
    </row>
    <row r="26" ht="16.5" customHeight="1">
      <c r="A26" s="1"/>
      <c r="B26" s="57" t="s">
        <v>3401</v>
      </c>
    </row>
    <row r="27" ht="16.5" customHeight="1">
      <c r="A27" s="1"/>
      <c r="B27" s="57">
        <f>529-COUNTBLANK(B2:X24)</f>
        <v>506</v>
      </c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1"/>
      <c r="Y1" s="1"/>
      <c r="Z1" s="1"/>
    </row>
    <row r="2" ht="16.5" customHeight="1">
      <c r="A2" s="37" t="s">
        <v>1</v>
      </c>
      <c r="B2" s="40"/>
      <c r="C2" s="39" t="s">
        <v>3402</v>
      </c>
      <c r="D2" s="39" t="s">
        <v>3403</v>
      </c>
      <c r="E2" s="39" t="s">
        <v>3404</v>
      </c>
      <c r="F2" s="39" t="s">
        <v>3405</v>
      </c>
      <c r="G2" s="39" t="s">
        <v>3406</v>
      </c>
      <c r="H2" s="39" t="s">
        <v>3407</v>
      </c>
      <c r="I2" s="39" t="s">
        <v>3408</v>
      </c>
      <c r="J2" s="39" t="s">
        <v>3409</v>
      </c>
      <c r="K2" s="39" t="s">
        <v>3410</v>
      </c>
      <c r="L2" s="39" t="s">
        <v>3411</v>
      </c>
      <c r="M2" s="39" t="s">
        <v>3412</v>
      </c>
      <c r="N2" s="39" t="s">
        <v>3413</v>
      </c>
      <c r="O2" s="39" t="s">
        <v>3414</v>
      </c>
      <c r="P2" s="39" t="s">
        <v>3415</v>
      </c>
      <c r="Q2" s="39" t="s">
        <v>3416</v>
      </c>
      <c r="R2" s="39" t="s">
        <v>3417</v>
      </c>
      <c r="S2" s="39" t="s">
        <v>3418</v>
      </c>
      <c r="T2" s="39" t="s">
        <v>3419</v>
      </c>
      <c r="U2" s="39" t="s">
        <v>3420</v>
      </c>
      <c r="V2" s="40"/>
      <c r="W2" s="39" t="s">
        <v>3421</v>
      </c>
    </row>
    <row r="3" ht="16.5" customHeight="1">
      <c r="A3" s="37" t="s">
        <v>2</v>
      </c>
      <c r="B3" s="39" t="s">
        <v>3422</v>
      </c>
      <c r="C3" s="40"/>
      <c r="D3" s="39" t="s">
        <v>3423</v>
      </c>
      <c r="E3" s="39" t="s">
        <v>3424</v>
      </c>
      <c r="F3" s="39" t="s">
        <v>3425</v>
      </c>
      <c r="G3" s="39" t="s">
        <v>3426</v>
      </c>
      <c r="H3" s="39" t="s">
        <v>3427</v>
      </c>
      <c r="I3" s="13" t="s">
        <v>3428</v>
      </c>
      <c r="J3" s="39" t="s">
        <v>3429</v>
      </c>
      <c r="K3" s="39" t="s">
        <v>3430</v>
      </c>
      <c r="L3" s="39" t="s">
        <v>3431</v>
      </c>
      <c r="M3" s="39" t="s">
        <v>3432</v>
      </c>
      <c r="N3" s="39" t="s">
        <v>3433</v>
      </c>
      <c r="O3" s="40"/>
      <c r="P3" s="39" t="s">
        <v>3434</v>
      </c>
      <c r="Q3" s="39" t="s">
        <v>3435</v>
      </c>
      <c r="R3" s="39" t="s">
        <v>3436</v>
      </c>
      <c r="S3" s="39" t="s">
        <v>3437</v>
      </c>
      <c r="T3" s="39" t="s">
        <v>3438</v>
      </c>
      <c r="U3" s="39" t="s">
        <v>3439</v>
      </c>
      <c r="V3" s="39" t="s">
        <v>3440</v>
      </c>
      <c r="W3" s="39" t="s">
        <v>3441</v>
      </c>
    </row>
    <row r="4" ht="16.5" customHeight="1">
      <c r="A4" s="37" t="s">
        <v>3</v>
      </c>
      <c r="B4" s="39" t="s">
        <v>3442</v>
      </c>
      <c r="C4" s="39" t="s">
        <v>3443</v>
      </c>
      <c r="D4" s="40"/>
      <c r="E4" s="39" t="s">
        <v>3444</v>
      </c>
      <c r="F4" s="39" t="s">
        <v>3445</v>
      </c>
      <c r="G4" s="39" t="s">
        <v>3446</v>
      </c>
      <c r="H4" s="39" t="s">
        <v>3447</v>
      </c>
      <c r="I4" s="39" t="s">
        <v>3448</v>
      </c>
      <c r="J4" s="39" t="s">
        <v>3449</v>
      </c>
      <c r="K4" s="39" t="s">
        <v>3450</v>
      </c>
      <c r="L4" s="39" t="s">
        <v>3451</v>
      </c>
      <c r="M4" s="39" t="s">
        <v>3452</v>
      </c>
      <c r="N4" s="39" t="s">
        <v>3453</v>
      </c>
      <c r="O4" s="39" t="s">
        <v>3454</v>
      </c>
      <c r="P4" s="39" t="s">
        <v>3455</v>
      </c>
      <c r="Q4" s="40"/>
      <c r="R4" s="39" t="s">
        <v>3456</v>
      </c>
      <c r="S4" s="39" t="s">
        <v>3457</v>
      </c>
      <c r="T4" s="39" t="s">
        <v>3458</v>
      </c>
      <c r="U4" s="39" t="s">
        <v>3459</v>
      </c>
      <c r="V4" s="39" t="s">
        <v>3460</v>
      </c>
      <c r="W4" s="39" t="s">
        <v>3461</v>
      </c>
    </row>
    <row r="5" ht="16.5" customHeight="1">
      <c r="A5" s="37" t="s">
        <v>4</v>
      </c>
      <c r="B5" s="39" t="s">
        <v>3462</v>
      </c>
      <c r="C5" s="39" t="s">
        <v>3463</v>
      </c>
      <c r="D5" s="39" t="s">
        <v>3464</v>
      </c>
      <c r="E5" s="40"/>
      <c r="F5" s="39" t="s">
        <v>3465</v>
      </c>
      <c r="G5" s="39" t="s">
        <v>3466</v>
      </c>
      <c r="H5" s="39" t="s">
        <v>3467</v>
      </c>
      <c r="I5" s="39" t="s">
        <v>3468</v>
      </c>
      <c r="J5" s="39" t="s">
        <v>3469</v>
      </c>
      <c r="K5" s="39" t="s">
        <v>3470</v>
      </c>
      <c r="L5" s="39" t="s">
        <v>3471</v>
      </c>
      <c r="M5" s="39" t="s">
        <v>3472</v>
      </c>
      <c r="N5" s="42"/>
      <c r="O5" s="39" t="s">
        <v>3473</v>
      </c>
      <c r="P5" s="39" t="s">
        <v>3474</v>
      </c>
      <c r="Q5" s="39" t="s">
        <v>3475</v>
      </c>
      <c r="R5" s="39" t="s">
        <v>3476</v>
      </c>
      <c r="S5" s="39" t="s">
        <v>3477</v>
      </c>
      <c r="T5" s="39" t="s">
        <v>3478</v>
      </c>
      <c r="U5" s="39" t="s">
        <v>3479</v>
      </c>
      <c r="V5" s="39" t="s">
        <v>3480</v>
      </c>
      <c r="W5" s="39" t="s">
        <v>3481</v>
      </c>
    </row>
    <row r="6" ht="16.5" customHeight="1">
      <c r="A6" s="37" t="s">
        <v>5</v>
      </c>
      <c r="B6" s="39" t="s">
        <v>3482</v>
      </c>
      <c r="C6" s="39" t="s">
        <v>3483</v>
      </c>
      <c r="D6" s="39" t="s">
        <v>3484</v>
      </c>
      <c r="E6" s="39" t="s">
        <v>3485</v>
      </c>
      <c r="F6" s="40"/>
      <c r="G6" s="39" t="s">
        <v>3486</v>
      </c>
      <c r="H6" s="42"/>
      <c r="I6" s="39" t="s">
        <v>3487</v>
      </c>
      <c r="J6" s="39" t="s">
        <v>3488</v>
      </c>
      <c r="K6" s="39" t="s">
        <v>3489</v>
      </c>
      <c r="L6" s="39" t="s">
        <v>3490</v>
      </c>
      <c r="M6" s="39" t="s">
        <v>3491</v>
      </c>
      <c r="N6" s="39" t="s">
        <v>3492</v>
      </c>
      <c r="O6" s="39" t="s">
        <v>3493</v>
      </c>
      <c r="P6" s="39" t="s">
        <v>3494</v>
      </c>
      <c r="Q6" s="39" t="s">
        <v>3495</v>
      </c>
      <c r="R6" s="39" t="s">
        <v>3492</v>
      </c>
      <c r="S6" s="39" t="s">
        <v>3496</v>
      </c>
      <c r="T6" s="39" t="s">
        <v>3497</v>
      </c>
      <c r="U6" s="39" t="s">
        <v>3498</v>
      </c>
      <c r="V6" s="39" t="s">
        <v>3499</v>
      </c>
      <c r="W6" s="39" t="s">
        <v>3500</v>
      </c>
    </row>
    <row r="7" ht="16.5" customHeight="1">
      <c r="A7" s="37" t="s">
        <v>6</v>
      </c>
      <c r="B7" s="39" t="s">
        <v>3501</v>
      </c>
      <c r="C7" s="39" t="s">
        <v>3502</v>
      </c>
      <c r="D7" s="39" t="s">
        <v>3503</v>
      </c>
      <c r="E7" s="39" t="s">
        <v>3504</v>
      </c>
      <c r="F7" s="39" t="s">
        <v>3505</v>
      </c>
      <c r="G7" s="40"/>
      <c r="H7" s="39" t="s">
        <v>3506</v>
      </c>
      <c r="I7" s="39" t="s">
        <v>3507</v>
      </c>
      <c r="J7" s="39" t="s">
        <v>3508</v>
      </c>
      <c r="K7" s="39" t="s">
        <v>3509</v>
      </c>
      <c r="L7" s="39" t="s">
        <v>3510</v>
      </c>
      <c r="M7" s="39" t="s">
        <v>3511</v>
      </c>
      <c r="N7" s="39" t="s">
        <v>3512</v>
      </c>
      <c r="O7" s="39" t="s">
        <v>3513</v>
      </c>
      <c r="P7" s="39" t="s">
        <v>3514</v>
      </c>
      <c r="Q7" s="39" t="s">
        <v>3515</v>
      </c>
      <c r="R7" s="40"/>
      <c r="S7" s="39" t="s">
        <v>3516</v>
      </c>
      <c r="T7" s="39" t="s">
        <v>3517</v>
      </c>
      <c r="U7" s="39" t="s">
        <v>3518</v>
      </c>
      <c r="V7" s="39" t="s">
        <v>3519</v>
      </c>
      <c r="W7" s="39" t="s">
        <v>3520</v>
      </c>
    </row>
    <row r="8" ht="16.5" customHeight="1">
      <c r="A8" s="37" t="s">
        <v>7</v>
      </c>
      <c r="B8" s="39" t="s">
        <v>34</v>
      </c>
      <c r="C8" s="39" t="s">
        <v>3521</v>
      </c>
      <c r="D8" s="39" t="s">
        <v>3522</v>
      </c>
      <c r="E8" s="39" t="s">
        <v>3523</v>
      </c>
      <c r="F8" s="40"/>
      <c r="G8" s="39" t="s">
        <v>3524</v>
      </c>
      <c r="H8" s="40"/>
      <c r="I8" s="39" t="s">
        <v>3525</v>
      </c>
      <c r="J8" s="39" t="s">
        <v>3526</v>
      </c>
      <c r="K8" s="39" t="s">
        <v>3527</v>
      </c>
      <c r="L8" s="39" t="s">
        <v>3528</v>
      </c>
      <c r="M8" s="39" t="s">
        <v>3529</v>
      </c>
      <c r="N8" s="39" t="s">
        <v>3530</v>
      </c>
      <c r="O8" s="39" t="s">
        <v>3531</v>
      </c>
      <c r="P8" s="39" t="s">
        <v>3532</v>
      </c>
      <c r="Q8" s="39" t="s">
        <v>3533</v>
      </c>
      <c r="R8" s="39" t="s">
        <v>3534</v>
      </c>
      <c r="S8" s="39" t="s">
        <v>3535</v>
      </c>
      <c r="T8" s="39" t="s">
        <v>3536</v>
      </c>
      <c r="U8" s="39" t="s">
        <v>3537</v>
      </c>
      <c r="V8" s="39" t="s">
        <v>3538</v>
      </c>
      <c r="W8" s="39" t="s">
        <v>3539</v>
      </c>
    </row>
    <row r="9" ht="16.5" customHeight="1">
      <c r="A9" s="37" t="s">
        <v>8</v>
      </c>
      <c r="B9" s="39" t="s">
        <v>3540</v>
      </c>
      <c r="C9" s="13" t="s">
        <v>3541</v>
      </c>
      <c r="D9" s="39" t="s">
        <v>3542</v>
      </c>
      <c r="E9" s="39" t="s">
        <v>3543</v>
      </c>
      <c r="F9" s="39" t="s">
        <v>3544</v>
      </c>
      <c r="G9" s="39" t="s">
        <v>3545</v>
      </c>
      <c r="H9" s="39" t="s">
        <v>3546</v>
      </c>
      <c r="I9" s="40"/>
      <c r="J9" s="39" t="s">
        <v>3547</v>
      </c>
      <c r="K9" s="39" t="s">
        <v>3548</v>
      </c>
      <c r="L9" s="39" t="s">
        <v>3549</v>
      </c>
      <c r="M9" s="40"/>
      <c r="N9" s="39" t="s">
        <v>3550</v>
      </c>
      <c r="O9" s="39" t="s">
        <v>3551</v>
      </c>
      <c r="P9" s="39" t="s">
        <v>3552</v>
      </c>
      <c r="Q9" s="39" t="s">
        <v>3553</v>
      </c>
      <c r="R9" s="39" t="s">
        <v>3554</v>
      </c>
      <c r="S9" s="39" t="s">
        <v>3555</v>
      </c>
      <c r="T9" s="39" t="s">
        <v>3556</v>
      </c>
      <c r="U9" s="39" t="s">
        <v>3557</v>
      </c>
      <c r="V9" s="39" t="s">
        <v>3558</v>
      </c>
      <c r="W9" s="39" t="s">
        <v>3559</v>
      </c>
    </row>
    <row r="10" ht="16.5" customHeight="1">
      <c r="A10" s="37" t="s">
        <v>9</v>
      </c>
      <c r="B10" s="39" t="s">
        <v>74</v>
      </c>
      <c r="C10" s="39" t="s">
        <v>3560</v>
      </c>
      <c r="D10" s="39" t="s">
        <v>3561</v>
      </c>
      <c r="E10" s="39" t="s">
        <v>3562</v>
      </c>
      <c r="F10" s="39" t="s">
        <v>3563</v>
      </c>
      <c r="G10" s="39" t="s">
        <v>3564</v>
      </c>
      <c r="H10" s="39" t="s">
        <v>3565</v>
      </c>
      <c r="I10" s="39" t="s">
        <v>3566</v>
      </c>
      <c r="J10" s="40"/>
      <c r="K10" s="39" t="s">
        <v>3567</v>
      </c>
      <c r="L10" s="39" t="s">
        <v>83</v>
      </c>
      <c r="M10" s="39" t="s">
        <v>3568</v>
      </c>
      <c r="N10" s="39" t="s">
        <v>85</v>
      </c>
      <c r="O10" s="39" t="s">
        <v>3569</v>
      </c>
      <c r="P10" s="39" t="s">
        <v>87</v>
      </c>
      <c r="Q10" s="39" t="s">
        <v>3570</v>
      </c>
      <c r="R10" s="39" t="s">
        <v>89</v>
      </c>
      <c r="S10" s="39" t="s">
        <v>3571</v>
      </c>
      <c r="T10" s="40"/>
      <c r="U10" s="39" t="s">
        <v>3572</v>
      </c>
      <c r="V10" s="39" t="s">
        <v>3573</v>
      </c>
      <c r="W10" s="39" t="s">
        <v>3574</v>
      </c>
    </row>
    <row r="11" ht="16.5" customHeight="1">
      <c r="A11" s="37" t="s">
        <v>10</v>
      </c>
      <c r="B11" s="39" t="s">
        <v>3575</v>
      </c>
      <c r="C11" s="39" t="s">
        <v>3576</v>
      </c>
      <c r="D11" s="39" t="s">
        <v>3577</v>
      </c>
      <c r="E11" s="39" t="s">
        <v>3578</v>
      </c>
      <c r="F11" s="39" t="s">
        <v>3579</v>
      </c>
      <c r="G11" s="39" t="s">
        <v>3580</v>
      </c>
      <c r="H11" s="39" t="s">
        <v>3581</v>
      </c>
      <c r="I11" s="39" t="s">
        <v>3582</v>
      </c>
      <c r="J11" s="39" t="s">
        <v>3583</v>
      </c>
      <c r="K11" s="40"/>
      <c r="L11" s="39" t="s">
        <v>3584</v>
      </c>
      <c r="M11" s="39" t="s">
        <v>3585</v>
      </c>
      <c r="N11" s="39" t="s">
        <v>3586</v>
      </c>
      <c r="O11" s="39" t="s">
        <v>3587</v>
      </c>
      <c r="P11" s="39" t="s">
        <v>3588</v>
      </c>
      <c r="Q11" s="39" t="s">
        <v>3589</v>
      </c>
      <c r="R11" s="39" t="s">
        <v>3590</v>
      </c>
      <c r="S11" s="40"/>
      <c r="T11" s="39" t="s">
        <v>3591</v>
      </c>
      <c r="U11" s="39" t="s">
        <v>3592</v>
      </c>
      <c r="V11" s="39" t="s">
        <v>3593</v>
      </c>
      <c r="W11" s="39" t="s">
        <v>3594</v>
      </c>
    </row>
    <row r="12" ht="16.5" customHeight="1">
      <c r="A12" s="37" t="s">
        <v>11</v>
      </c>
      <c r="B12" s="39" t="s">
        <v>3595</v>
      </c>
      <c r="C12" s="39" t="s">
        <v>3596</v>
      </c>
      <c r="D12" s="39" t="s">
        <v>3597</v>
      </c>
      <c r="E12" s="39" t="s">
        <v>117</v>
      </c>
      <c r="F12" s="39" t="s">
        <v>3598</v>
      </c>
      <c r="G12" s="39" t="s">
        <v>3599</v>
      </c>
      <c r="H12" s="39" t="s">
        <v>3600</v>
      </c>
      <c r="I12" s="39" t="s">
        <v>3601</v>
      </c>
      <c r="J12" s="39" t="s">
        <v>122</v>
      </c>
      <c r="K12" s="39" t="s">
        <v>3602</v>
      </c>
      <c r="L12" s="40"/>
      <c r="M12" s="39" t="s">
        <v>3603</v>
      </c>
      <c r="N12" s="39" t="s">
        <v>3604</v>
      </c>
      <c r="O12" s="39" t="s">
        <v>3605</v>
      </c>
      <c r="P12" s="39" t="s">
        <v>3606</v>
      </c>
      <c r="Q12" s="39" t="s">
        <v>3607</v>
      </c>
      <c r="R12" s="39" t="s">
        <v>3608</v>
      </c>
      <c r="S12" s="39" t="s">
        <v>3609</v>
      </c>
      <c r="T12" s="39" t="s">
        <v>3610</v>
      </c>
      <c r="U12" s="40"/>
      <c r="V12" s="39" t="s">
        <v>132</v>
      </c>
      <c r="W12" s="39" t="s">
        <v>3611</v>
      </c>
    </row>
    <row r="13" ht="16.5" customHeight="1">
      <c r="A13" s="37" t="s">
        <v>12</v>
      </c>
      <c r="B13" s="39" t="s">
        <v>3612</v>
      </c>
      <c r="C13" s="39" t="s">
        <v>3613</v>
      </c>
      <c r="D13" s="39" t="s">
        <v>3614</v>
      </c>
      <c r="E13" s="39" t="s">
        <v>137</v>
      </c>
      <c r="F13" s="39" t="s">
        <v>3615</v>
      </c>
      <c r="G13" s="39" t="s">
        <v>3616</v>
      </c>
      <c r="H13" s="39" t="s">
        <v>3617</v>
      </c>
      <c r="I13" s="40"/>
      <c r="J13" s="39" t="s">
        <v>3618</v>
      </c>
      <c r="K13" s="39" t="s">
        <v>3619</v>
      </c>
      <c r="L13" s="39" t="s">
        <v>3620</v>
      </c>
      <c r="M13" s="40"/>
      <c r="N13" s="39" t="s">
        <v>144</v>
      </c>
      <c r="O13" s="39" t="s">
        <v>3621</v>
      </c>
      <c r="P13" s="39" t="s">
        <v>3622</v>
      </c>
      <c r="Q13" s="39" t="s">
        <v>3623</v>
      </c>
      <c r="R13" s="39" t="s">
        <v>3624</v>
      </c>
      <c r="S13" s="39" t="s">
        <v>3625</v>
      </c>
      <c r="T13" s="39" t="s">
        <v>3626</v>
      </c>
      <c r="U13" s="39" t="s">
        <v>151</v>
      </c>
      <c r="V13" s="39" t="s">
        <v>3627</v>
      </c>
      <c r="W13" s="39" t="s">
        <v>3628</v>
      </c>
    </row>
    <row r="14" ht="16.5" customHeight="1">
      <c r="A14" s="37" t="s">
        <v>13</v>
      </c>
      <c r="B14" s="39" t="s">
        <v>3629</v>
      </c>
      <c r="C14" s="39" t="s">
        <v>3630</v>
      </c>
      <c r="D14" s="39" t="s">
        <v>3631</v>
      </c>
      <c r="E14" s="47"/>
      <c r="F14" s="39" t="s">
        <v>3632</v>
      </c>
      <c r="G14" s="39" t="s">
        <v>3633</v>
      </c>
      <c r="H14" s="39" t="s">
        <v>3634</v>
      </c>
      <c r="I14" s="39" t="s">
        <v>3635</v>
      </c>
      <c r="J14" s="39" t="s">
        <v>160</v>
      </c>
      <c r="K14" s="39" t="s">
        <v>3636</v>
      </c>
      <c r="L14" s="39" t="s">
        <v>3637</v>
      </c>
      <c r="M14" s="39" t="s">
        <v>163</v>
      </c>
      <c r="N14" s="40"/>
      <c r="O14" s="39" t="s">
        <v>3638</v>
      </c>
      <c r="P14" s="39" t="s">
        <v>3639</v>
      </c>
      <c r="Q14" s="39" t="s">
        <v>3640</v>
      </c>
      <c r="R14" s="39" t="s">
        <v>3641</v>
      </c>
      <c r="S14" s="39" t="s">
        <v>3642</v>
      </c>
      <c r="T14" s="39" t="s">
        <v>3643</v>
      </c>
      <c r="U14" s="39" t="s">
        <v>3644</v>
      </c>
      <c r="V14" s="39" t="s">
        <v>171</v>
      </c>
      <c r="W14" s="39" t="s">
        <v>3645</v>
      </c>
    </row>
    <row r="15" ht="16.5" customHeight="1">
      <c r="A15" s="37" t="s">
        <v>14</v>
      </c>
      <c r="B15" s="39" t="s">
        <v>3646</v>
      </c>
      <c r="C15" s="40"/>
      <c r="D15" s="39" t="s">
        <v>3647</v>
      </c>
      <c r="E15" s="39" t="s">
        <v>3648</v>
      </c>
      <c r="F15" s="39" t="s">
        <v>3649</v>
      </c>
      <c r="G15" s="39" t="s">
        <v>3650</v>
      </c>
      <c r="H15" s="39" t="s">
        <v>3651</v>
      </c>
      <c r="I15" s="39" t="s">
        <v>3652</v>
      </c>
      <c r="J15" s="39" t="s">
        <v>3653</v>
      </c>
      <c r="K15" s="39" t="s">
        <v>3654</v>
      </c>
      <c r="L15" s="39" t="s">
        <v>3655</v>
      </c>
      <c r="M15" s="39" t="s">
        <v>3656</v>
      </c>
      <c r="N15" s="39" t="s">
        <v>3657</v>
      </c>
      <c r="O15" s="40"/>
      <c r="P15" s="39" t="s">
        <v>3658</v>
      </c>
      <c r="Q15" s="39" t="s">
        <v>186</v>
      </c>
      <c r="R15" s="39" t="s">
        <v>3659</v>
      </c>
      <c r="S15" s="39" t="s">
        <v>3660</v>
      </c>
      <c r="T15" s="39" t="s">
        <v>3661</v>
      </c>
      <c r="U15" s="39" t="s">
        <v>3662</v>
      </c>
      <c r="V15" s="39" t="s">
        <v>3663</v>
      </c>
      <c r="W15" s="39" t="s">
        <v>3664</v>
      </c>
    </row>
    <row r="16" ht="16.5" customHeight="1">
      <c r="A16" s="37" t="s">
        <v>15</v>
      </c>
      <c r="B16" s="39" t="s">
        <v>3665</v>
      </c>
      <c r="C16" s="39" t="s">
        <v>3666</v>
      </c>
      <c r="D16" s="39" t="s">
        <v>3667</v>
      </c>
      <c r="E16" s="39" t="s">
        <v>3668</v>
      </c>
      <c r="F16" s="39" t="s">
        <v>30</v>
      </c>
      <c r="G16" s="39" t="s">
        <v>3669</v>
      </c>
      <c r="H16" s="39" t="s">
        <v>3670</v>
      </c>
      <c r="I16" s="39" t="s">
        <v>3671</v>
      </c>
      <c r="J16" s="39" t="s">
        <v>201</v>
      </c>
      <c r="K16" s="39" t="s">
        <v>3672</v>
      </c>
      <c r="L16" s="39" t="s">
        <v>3673</v>
      </c>
      <c r="M16" s="39" t="s">
        <v>3674</v>
      </c>
      <c r="N16" s="39" t="s">
        <v>3675</v>
      </c>
      <c r="O16" s="39" t="s">
        <v>3676</v>
      </c>
      <c r="P16" s="40"/>
      <c r="Q16" s="39" t="s">
        <v>3677</v>
      </c>
      <c r="R16" s="13" t="s">
        <v>3678</v>
      </c>
      <c r="S16" s="39" t="s">
        <v>3679</v>
      </c>
      <c r="T16" s="39" t="s">
        <v>3680</v>
      </c>
      <c r="U16" s="39" t="s">
        <v>3681</v>
      </c>
      <c r="V16" s="39" t="s">
        <v>212</v>
      </c>
      <c r="W16" s="40"/>
    </row>
    <row r="17" ht="16.5" customHeight="1">
      <c r="A17" s="37" t="s">
        <v>16</v>
      </c>
      <c r="B17" s="39" t="s">
        <v>3682</v>
      </c>
      <c r="C17" s="39" t="s">
        <v>3683</v>
      </c>
      <c r="D17" s="42"/>
      <c r="E17" s="39" t="s">
        <v>3684</v>
      </c>
      <c r="F17" s="39" t="s">
        <v>3685</v>
      </c>
      <c r="G17" s="39" t="s">
        <v>3686</v>
      </c>
      <c r="H17" s="39" t="s">
        <v>3687</v>
      </c>
      <c r="I17" s="39" t="s">
        <v>3688</v>
      </c>
      <c r="J17" s="39" t="s">
        <v>3689</v>
      </c>
      <c r="K17" s="39" t="s">
        <v>3690</v>
      </c>
      <c r="L17" s="39" t="s">
        <v>3691</v>
      </c>
      <c r="M17" s="39" t="s">
        <v>3692</v>
      </c>
      <c r="N17" s="39" t="s">
        <v>3693</v>
      </c>
      <c r="O17" s="39" t="s">
        <v>225</v>
      </c>
      <c r="P17" s="39" t="s">
        <v>3694</v>
      </c>
      <c r="Q17" s="40"/>
      <c r="R17" s="39" t="s">
        <v>3695</v>
      </c>
      <c r="S17" s="13" t="s">
        <v>3696</v>
      </c>
      <c r="T17" s="39" t="s">
        <v>3697</v>
      </c>
      <c r="U17" s="39" t="s">
        <v>3698</v>
      </c>
      <c r="V17" s="39" t="s">
        <v>3699</v>
      </c>
      <c r="W17" s="39" t="s">
        <v>3700</v>
      </c>
    </row>
    <row r="18" ht="16.5" customHeight="1">
      <c r="A18" s="37" t="s">
        <v>17</v>
      </c>
      <c r="B18" s="39" t="s">
        <v>3701</v>
      </c>
      <c r="C18" s="39" t="s">
        <v>3702</v>
      </c>
      <c r="D18" s="39" t="s">
        <v>3703</v>
      </c>
      <c r="E18" s="39" t="s">
        <v>236</v>
      </c>
      <c r="F18" s="39" t="s">
        <v>3632</v>
      </c>
      <c r="G18" s="42"/>
      <c r="H18" s="39" t="s">
        <v>3704</v>
      </c>
      <c r="I18" s="39" t="s">
        <v>3705</v>
      </c>
      <c r="J18" s="39" t="s">
        <v>3706</v>
      </c>
      <c r="K18" s="39" t="s">
        <v>3707</v>
      </c>
      <c r="L18" s="39" t="s">
        <v>3708</v>
      </c>
      <c r="M18" s="39" t="s">
        <v>3709</v>
      </c>
      <c r="N18" s="39" t="s">
        <v>3710</v>
      </c>
      <c r="O18" s="39" t="s">
        <v>3711</v>
      </c>
      <c r="P18" s="13" t="s">
        <v>3712</v>
      </c>
      <c r="Q18" s="39" t="s">
        <v>3713</v>
      </c>
      <c r="R18" s="40"/>
      <c r="S18" s="39" t="s">
        <v>247</v>
      </c>
      <c r="T18" s="39" t="s">
        <v>3714</v>
      </c>
      <c r="U18" s="39" t="s">
        <v>3715</v>
      </c>
      <c r="V18" s="39" t="s">
        <v>250</v>
      </c>
      <c r="W18" s="39" t="s">
        <v>3716</v>
      </c>
    </row>
    <row r="19" ht="16.5" customHeight="1">
      <c r="A19" s="37" t="s">
        <v>18</v>
      </c>
      <c r="B19" s="39" t="s">
        <v>3717</v>
      </c>
      <c r="C19" s="39" t="s">
        <v>3718</v>
      </c>
      <c r="D19" s="39" t="s">
        <v>3719</v>
      </c>
      <c r="E19" s="39" t="s">
        <v>3720</v>
      </c>
      <c r="F19" s="39" t="s">
        <v>3721</v>
      </c>
      <c r="G19" s="39" t="s">
        <v>3722</v>
      </c>
      <c r="H19" s="39" t="s">
        <v>3723</v>
      </c>
      <c r="I19" s="39" t="s">
        <v>3724</v>
      </c>
      <c r="J19" s="39" t="s">
        <v>3725</v>
      </c>
      <c r="K19" s="40"/>
      <c r="L19" s="39" t="s">
        <v>3726</v>
      </c>
      <c r="M19" s="39" t="s">
        <v>3727</v>
      </c>
      <c r="N19" s="39" t="s">
        <v>3728</v>
      </c>
      <c r="O19" s="39" t="s">
        <v>3729</v>
      </c>
      <c r="P19" s="39" t="s">
        <v>3730</v>
      </c>
      <c r="Q19" s="13" t="s">
        <v>3731</v>
      </c>
      <c r="R19" s="39" t="s">
        <v>267</v>
      </c>
      <c r="S19" s="40"/>
      <c r="T19" s="39" t="s">
        <v>3732</v>
      </c>
      <c r="U19" s="39" t="s">
        <v>269</v>
      </c>
      <c r="V19" s="39" t="s">
        <v>3733</v>
      </c>
      <c r="W19" s="39" t="s">
        <v>3734</v>
      </c>
    </row>
    <row r="20" ht="16.5" customHeight="1">
      <c r="A20" s="37" t="s">
        <v>19</v>
      </c>
      <c r="B20" s="39" t="s">
        <v>272</v>
      </c>
      <c r="C20" s="39" t="s">
        <v>3735</v>
      </c>
      <c r="D20" s="39" t="s">
        <v>3736</v>
      </c>
      <c r="E20" s="39" t="s">
        <v>275</v>
      </c>
      <c r="F20" s="39" t="s">
        <v>3737</v>
      </c>
      <c r="G20" s="39" t="s">
        <v>277</v>
      </c>
      <c r="H20" s="39" t="s">
        <v>3738</v>
      </c>
      <c r="I20" s="39" t="s">
        <v>3739</v>
      </c>
      <c r="J20" s="40"/>
      <c r="K20" s="39" t="s">
        <v>3740</v>
      </c>
      <c r="L20" s="39" t="s">
        <v>3741</v>
      </c>
      <c r="M20" s="39" t="s">
        <v>3742</v>
      </c>
      <c r="N20" s="39" t="s">
        <v>3743</v>
      </c>
      <c r="O20" s="39" t="s">
        <v>3744</v>
      </c>
      <c r="P20" s="39" t="s">
        <v>3745</v>
      </c>
      <c r="Q20" s="39" t="s">
        <v>3746</v>
      </c>
      <c r="R20" s="39" t="s">
        <v>3747</v>
      </c>
      <c r="S20" s="39" t="s">
        <v>3748</v>
      </c>
      <c r="T20" s="40"/>
      <c r="U20" s="39" t="s">
        <v>289</v>
      </c>
      <c r="V20" s="39" t="s">
        <v>3749</v>
      </c>
      <c r="W20" s="39" t="s">
        <v>3750</v>
      </c>
    </row>
    <row r="21" ht="16.5" customHeight="1">
      <c r="A21" s="37" t="s">
        <v>20</v>
      </c>
      <c r="B21" s="39" t="s">
        <v>3751</v>
      </c>
      <c r="C21" s="39" t="s">
        <v>3752</v>
      </c>
      <c r="D21" s="39" t="s">
        <v>3753</v>
      </c>
      <c r="E21" s="39" t="s">
        <v>3754</v>
      </c>
      <c r="F21" s="39" t="s">
        <v>296</v>
      </c>
      <c r="G21" s="39" t="s">
        <v>3755</v>
      </c>
      <c r="H21" s="39" t="s">
        <v>3756</v>
      </c>
      <c r="I21" s="39" t="s">
        <v>3757</v>
      </c>
      <c r="J21" s="39" t="s">
        <v>3758</v>
      </c>
      <c r="K21" s="39" t="s">
        <v>3759</v>
      </c>
      <c r="L21" s="40"/>
      <c r="M21" s="39" t="s">
        <v>302</v>
      </c>
      <c r="N21" s="39" t="s">
        <v>3760</v>
      </c>
      <c r="O21" s="39" t="s">
        <v>3761</v>
      </c>
      <c r="P21" s="39" t="s">
        <v>3762</v>
      </c>
      <c r="Q21" s="39" t="s">
        <v>3763</v>
      </c>
      <c r="R21" s="39" t="s">
        <v>3764</v>
      </c>
      <c r="S21" s="39" t="s">
        <v>3765</v>
      </c>
      <c r="T21" s="39" t="s">
        <v>309</v>
      </c>
      <c r="U21" s="40"/>
      <c r="V21" s="39" t="s">
        <v>310</v>
      </c>
      <c r="W21" s="39" t="s">
        <v>3766</v>
      </c>
    </row>
    <row r="22" ht="16.5" customHeight="1">
      <c r="A22" s="37" t="s">
        <v>21</v>
      </c>
      <c r="B22" s="40"/>
      <c r="C22" s="39" t="s">
        <v>3767</v>
      </c>
      <c r="D22" s="39" t="s">
        <v>3768</v>
      </c>
      <c r="E22" s="39" t="s">
        <v>314</v>
      </c>
      <c r="F22" s="39" t="s">
        <v>3769</v>
      </c>
      <c r="G22" s="39" t="s">
        <v>316</v>
      </c>
      <c r="H22" s="39" t="s">
        <v>3770</v>
      </c>
      <c r="I22" s="39" t="s">
        <v>3771</v>
      </c>
      <c r="J22" s="39" t="s">
        <v>3772</v>
      </c>
      <c r="K22" s="39" t="s">
        <v>3773</v>
      </c>
      <c r="L22" s="39" t="s">
        <v>320</v>
      </c>
      <c r="M22" s="39" t="s">
        <v>3774</v>
      </c>
      <c r="N22" s="39" t="s">
        <v>322</v>
      </c>
      <c r="O22" s="39" t="s">
        <v>3775</v>
      </c>
      <c r="P22" s="39" t="s">
        <v>324</v>
      </c>
      <c r="Q22" s="39" t="s">
        <v>3776</v>
      </c>
      <c r="R22" s="39" t="s">
        <v>326</v>
      </c>
      <c r="S22" s="39" t="s">
        <v>3777</v>
      </c>
      <c r="T22" s="39" t="s">
        <v>3778</v>
      </c>
      <c r="U22" s="39" t="s">
        <v>329</v>
      </c>
      <c r="V22" s="40"/>
      <c r="W22" s="39" t="s">
        <v>330</v>
      </c>
    </row>
    <row r="23" ht="16.5" customHeight="1">
      <c r="A23" s="37" t="s">
        <v>22</v>
      </c>
      <c r="B23" s="39" t="s">
        <v>3779</v>
      </c>
      <c r="C23" s="39" t="s">
        <v>3780</v>
      </c>
      <c r="D23" s="39" t="s">
        <v>3781</v>
      </c>
      <c r="E23" s="39" t="s">
        <v>3782</v>
      </c>
      <c r="F23" s="39" t="s">
        <v>335</v>
      </c>
      <c r="G23" s="39" t="s">
        <v>3783</v>
      </c>
      <c r="H23" s="39" t="s">
        <v>3784</v>
      </c>
      <c r="I23" s="39" t="s">
        <v>3785</v>
      </c>
      <c r="J23" s="39" t="s">
        <v>3786</v>
      </c>
      <c r="K23" s="39" t="s">
        <v>3787</v>
      </c>
      <c r="L23" s="39" t="s">
        <v>3788</v>
      </c>
      <c r="M23" s="39" t="s">
        <v>3789</v>
      </c>
      <c r="N23" s="39" t="s">
        <v>3790</v>
      </c>
      <c r="O23" s="39" t="s">
        <v>3791</v>
      </c>
      <c r="P23" s="40"/>
      <c r="Q23" s="39" t="s">
        <v>3792</v>
      </c>
      <c r="R23" s="39" t="s">
        <v>3793</v>
      </c>
      <c r="S23" s="39" t="s">
        <v>3794</v>
      </c>
      <c r="T23" s="39" t="s">
        <v>348</v>
      </c>
      <c r="U23" s="39" t="s">
        <v>3795</v>
      </c>
      <c r="V23" s="39" t="s">
        <v>350</v>
      </c>
      <c r="W23" s="40"/>
    </row>
    <row r="24" ht="16.5" customHeight="1">
      <c r="A24" s="1"/>
    </row>
    <row r="25" ht="16.5" customHeight="1">
      <c r="A25" s="1"/>
      <c r="B25" s="16" t="s">
        <v>351</v>
      </c>
      <c r="D25" s="17" t="s">
        <v>3796</v>
      </c>
      <c r="E25" s="17" t="s">
        <v>3797</v>
      </c>
      <c r="F25" s="17" t="s">
        <v>3798</v>
      </c>
      <c r="G25" s="17" t="s">
        <v>3799</v>
      </c>
      <c r="H25" s="18"/>
      <c r="I25" s="18"/>
      <c r="J25" s="18"/>
      <c r="K25" s="18"/>
      <c r="L25" s="18"/>
      <c r="M25" s="18"/>
      <c r="N25" s="18"/>
    </row>
    <row r="26" ht="16.5" customHeight="1">
      <c r="A26" s="1"/>
      <c r="B26" s="16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440</v>
      </c>
      <c r="D26" s="19">
        <f>COUNTIF(B2:W23,"*x*")+COUNTIF(B2:W23,"*x'*")</f>
        <v>32</v>
      </c>
      <c r="E26" s="58">
        <f>COUNTIF(B2:W23,"*z*")+COUNTIF(B2:W23,"*z'*")</f>
        <v>114</v>
      </c>
      <c r="F26" s="19">
        <f>COUNTIF(B2:W23,"*y*")+COUNTIF(B2:W23,"*y'*")</f>
        <v>16</v>
      </c>
      <c r="G26" s="19">
        <f>sum(D26,E26,F26)</f>
        <v>162</v>
      </c>
      <c r="H26" s="19"/>
      <c r="I26" s="19"/>
      <c r="J26" s="19"/>
      <c r="K26" s="19"/>
      <c r="L26" s="19"/>
      <c r="M26" s="19"/>
      <c r="N26" s="19"/>
    </row>
    <row r="27" ht="16.5" customHeight="1">
      <c r="A27" s="1"/>
      <c r="D27" s="20">
        <f>D26/B26</f>
        <v>0.07272727273</v>
      </c>
      <c r="E27" s="20">
        <f>E26/B26</f>
        <v>0.2590909091</v>
      </c>
      <c r="F27" s="20">
        <f>F26/B26</f>
        <v>0.03636363636</v>
      </c>
      <c r="G27" s="20">
        <f>G26/B26</f>
        <v>0.3681818182</v>
      </c>
      <c r="H27" s="20"/>
      <c r="I27" s="20"/>
      <c r="J27" s="20"/>
      <c r="K27" s="20"/>
      <c r="L27" s="20"/>
      <c r="M27" s="20"/>
      <c r="N27" s="20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57"/>
  </cols>
  <sheetData>
    <row r="1" ht="16.5" customHeight="1">
      <c r="A1" s="2" t="s">
        <v>0</v>
      </c>
      <c r="B1" s="2" t="s">
        <v>3800</v>
      </c>
      <c r="C1" s="2" t="s">
        <v>3801</v>
      </c>
      <c r="D1" s="2" t="s">
        <v>3802</v>
      </c>
      <c r="E1" s="2" t="s">
        <v>3803</v>
      </c>
      <c r="F1" s="2" t="s">
        <v>3804</v>
      </c>
      <c r="G1" s="2" t="s">
        <v>3805</v>
      </c>
      <c r="H1" s="2" t="s">
        <v>3806</v>
      </c>
      <c r="I1" s="2" t="s">
        <v>3807</v>
      </c>
      <c r="J1" s="2" t="s">
        <v>3808</v>
      </c>
      <c r="K1" s="2" t="s">
        <v>3809</v>
      </c>
      <c r="L1" s="2" t="s">
        <v>3810</v>
      </c>
      <c r="M1" s="2" t="s">
        <v>3811</v>
      </c>
      <c r="N1" s="2" t="s">
        <v>3812</v>
      </c>
      <c r="O1" s="2" t="s">
        <v>3813</v>
      </c>
      <c r="P1" s="2" t="s">
        <v>3814</v>
      </c>
      <c r="Q1" s="2" t="s">
        <v>3815</v>
      </c>
      <c r="R1" s="2" t="s">
        <v>3816</v>
      </c>
      <c r="S1" s="2" t="s">
        <v>3817</v>
      </c>
      <c r="T1" s="2" t="s">
        <v>3818</v>
      </c>
      <c r="U1" s="2" t="s">
        <v>3819</v>
      </c>
      <c r="V1" s="2" t="s">
        <v>3820</v>
      </c>
      <c r="W1" s="2" t="s">
        <v>3821</v>
      </c>
      <c r="X1" s="2" t="s">
        <v>3822</v>
      </c>
      <c r="Y1" s="1"/>
      <c r="Z1" s="1"/>
    </row>
    <row r="2" ht="16.5" customHeight="1">
      <c r="A2" s="2" t="s">
        <v>3800</v>
      </c>
      <c r="B2" s="7"/>
      <c r="C2" s="7"/>
      <c r="D2" s="7"/>
      <c r="E2" s="32" t="s">
        <v>3823</v>
      </c>
      <c r="F2" s="32" t="s">
        <v>3824</v>
      </c>
      <c r="G2" s="32" t="s">
        <v>3825</v>
      </c>
      <c r="H2" s="32" t="s">
        <v>3826</v>
      </c>
      <c r="I2" s="32" t="s">
        <v>3827</v>
      </c>
      <c r="J2" s="8" t="s">
        <v>3828</v>
      </c>
      <c r="K2" s="8" t="s">
        <v>3829</v>
      </c>
      <c r="L2" s="8" t="s">
        <v>3830</v>
      </c>
      <c r="M2" s="8" t="s">
        <v>3831</v>
      </c>
      <c r="N2" s="8" t="s">
        <v>3832</v>
      </c>
      <c r="O2" s="8" t="s">
        <v>3833</v>
      </c>
      <c r="P2" s="8" t="s">
        <v>3834</v>
      </c>
      <c r="Q2" s="8" t="s">
        <v>3835</v>
      </c>
      <c r="R2" s="8" t="s">
        <v>3836</v>
      </c>
      <c r="S2" s="8" t="s">
        <v>3837</v>
      </c>
      <c r="T2" s="8" t="s">
        <v>3838</v>
      </c>
      <c r="U2" s="8" t="s">
        <v>3839</v>
      </c>
      <c r="V2" s="8" t="s">
        <v>3840</v>
      </c>
      <c r="W2" s="8" t="s">
        <v>3841</v>
      </c>
      <c r="X2" s="8" t="s">
        <v>3842</v>
      </c>
    </row>
    <row r="3" ht="16.5" customHeight="1">
      <c r="A3" s="2" t="s">
        <v>3801</v>
      </c>
      <c r="B3" s="7"/>
      <c r="C3" s="7"/>
      <c r="D3" s="7"/>
      <c r="E3" s="8" t="s">
        <v>3843</v>
      </c>
      <c r="F3" s="8" t="s">
        <v>3844</v>
      </c>
      <c r="G3" s="8" t="s">
        <v>3845</v>
      </c>
      <c r="H3" s="8" t="s">
        <v>3846</v>
      </c>
      <c r="I3" s="8" t="s">
        <v>3847</v>
      </c>
      <c r="J3" s="8" t="s">
        <v>3848</v>
      </c>
      <c r="K3" s="8" t="s">
        <v>3849</v>
      </c>
      <c r="L3" s="8" t="s">
        <v>3850</v>
      </c>
      <c r="M3" s="8" t="s">
        <v>3851</v>
      </c>
      <c r="N3" s="8" t="s">
        <v>3852</v>
      </c>
      <c r="O3" s="8" t="s">
        <v>3853</v>
      </c>
      <c r="P3" s="8" t="s">
        <v>3854</v>
      </c>
      <c r="Q3" s="8" t="s">
        <v>3855</v>
      </c>
      <c r="R3" s="8" t="s">
        <v>3856</v>
      </c>
      <c r="S3" s="8" t="s">
        <v>3857</v>
      </c>
      <c r="T3" s="8" t="s">
        <v>3858</v>
      </c>
      <c r="U3" s="8" t="s">
        <v>3859</v>
      </c>
      <c r="V3" s="8" t="s">
        <v>3860</v>
      </c>
      <c r="W3" s="8" t="s">
        <v>3861</v>
      </c>
      <c r="X3" s="8" t="s">
        <v>3862</v>
      </c>
    </row>
    <row r="4" ht="16.5" customHeight="1">
      <c r="A4" s="2" t="s">
        <v>3802</v>
      </c>
      <c r="B4" s="7"/>
      <c r="C4" s="7"/>
      <c r="D4" s="7"/>
      <c r="E4" s="8" t="s">
        <v>3863</v>
      </c>
      <c r="F4" s="8" t="s">
        <v>3864</v>
      </c>
      <c r="G4" s="8" t="s">
        <v>3865</v>
      </c>
      <c r="H4" s="8" t="s">
        <v>3866</v>
      </c>
      <c r="I4" s="8" t="s">
        <v>3867</v>
      </c>
      <c r="J4" s="8" t="s">
        <v>3868</v>
      </c>
      <c r="K4" s="8" t="s">
        <v>3869</v>
      </c>
      <c r="L4" s="8" t="s">
        <v>3870</v>
      </c>
      <c r="M4" s="8" t="s">
        <v>3871</v>
      </c>
      <c r="N4" s="8" t="s">
        <v>3872</v>
      </c>
      <c r="O4" s="8" t="s">
        <v>3873</v>
      </c>
      <c r="P4" s="8" t="s">
        <v>3874</v>
      </c>
      <c r="Q4" s="8" t="s">
        <v>3875</v>
      </c>
      <c r="R4" s="8" t="s">
        <v>3876</v>
      </c>
      <c r="S4" s="8" t="s">
        <v>3877</v>
      </c>
      <c r="T4" s="8" t="s">
        <v>3878</v>
      </c>
      <c r="U4" s="8" t="s">
        <v>3879</v>
      </c>
      <c r="V4" s="8" t="s">
        <v>3880</v>
      </c>
      <c r="W4" s="8" t="s">
        <v>3881</v>
      </c>
      <c r="X4" s="8" t="s">
        <v>3882</v>
      </c>
    </row>
    <row r="5" ht="16.5" customHeight="1">
      <c r="A5" s="2" t="s">
        <v>3803</v>
      </c>
      <c r="B5" s="8" t="s">
        <v>3883</v>
      </c>
      <c r="C5" s="8" t="s">
        <v>3884</v>
      </c>
      <c r="D5" s="8" t="s">
        <v>3885</v>
      </c>
      <c r="E5" s="7"/>
      <c r="F5" s="7"/>
      <c r="G5" s="7"/>
      <c r="H5" s="7"/>
      <c r="I5" s="32" t="s">
        <v>3886</v>
      </c>
      <c r="J5" s="32" t="s">
        <v>3887</v>
      </c>
      <c r="K5" s="32" t="s">
        <v>3888</v>
      </c>
      <c r="L5" s="8" t="s">
        <v>3889</v>
      </c>
      <c r="M5" s="8" t="s">
        <v>3890</v>
      </c>
      <c r="N5" s="8" t="s">
        <v>3891</v>
      </c>
      <c r="O5" s="8" t="s">
        <v>3892</v>
      </c>
      <c r="P5" s="8" t="s">
        <v>3893</v>
      </c>
      <c r="Q5" s="8" t="s">
        <v>3894</v>
      </c>
      <c r="R5" s="8" t="s">
        <v>3895</v>
      </c>
      <c r="S5" s="8" t="s">
        <v>3896</v>
      </c>
      <c r="T5" s="8" t="s">
        <v>3897</v>
      </c>
      <c r="U5" s="8" t="s">
        <v>3898</v>
      </c>
      <c r="V5" s="8" t="s">
        <v>3899</v>
      </c>
      <c r="W5" s="8" t="s">
        <v>3900</v>
      </c>
      <c r="X5" s="8" t="s">
        <v>3901</v>
      </c>
    </row>
    <row r="6" ht="16.5" customHeight="1">
      <c r="A6" s="2" t="s">
        <v>3804</v>
      </c>
      <c r="B6" s="8" t="s">
        <v>3902</v>
      </c>
      <c r="C6" s="8" t="s">
        <v>3903</v>
      </c>
      <c r="D6" s="13" t="s">
        <v>3904</v>
      </c>
      <c r="E6" s="7"/>
      <c r="F6" s="7"/>
      <c r="G6" s="7"/>
      <c r="H6" s="7"/>
      <c r="I6" s="8" t="s">
        <v>3905</v>
      </c>
      <c r="J6" s="8" t="s">
        <v>3906</v>
      </c>
      <c r="K6" s="8" t="s">
        <v>3907</v>
      </c>
      <c r="L6" s="8" t="s">
        <v>3908</v>
      </c>
      <c r="M6" s="8" t="s">
        <v>3909</v>
      </c>
      <c r="N6" s="8" t="s">
        <v>3910</v>
      </c>
      <c r="O6" s="8" t="s">
        <v>3911</v>
      </c>
      <c r="P6" s="8" t="s">
        <v>3912</v>
      </c>
      <c r="Q6" s="8" t="s">
        <v>3913</v>
      </c>
      <c r="R6" s="32" t="s">
        <v>3914</v>
      </c>
      <c r="S6" s="8" t="s">
        <v>3915</v>
      </c>
      <c r="T6" s="8" t="s">
        <v>3916</v>
      </c>
      <c r="U6" s="8" t="s">
        <v>3917</v>
      </c>
      <c r="V6" s="8" t="s">
        <v>3918</v>
      </c>
      <c r="W6" s="8" t="s">
        <v>3919</v>
      </c>
      <c r="X6" s="8" t="s">
        <v>3920</v>
      </c>
    </row>
    <row r="7" ht="16.5" customHeight="1">
      <c r="A7" s="2" t="s">
        <v>3805</v>
      </c>
      <c r="B7" s="8" t="s">
        <v>3921</v>
      </c>
      <c r="C7" s="8" t="s">
        <v>3922</v>
      </c>
      <c r="D7" s="8" t="s">
        <v>3923</v>
      </c>
      <c r="E7" s="7"/>
      <c r="F7" s="7"/>
      <c r="G7" s="7"/>
      <c r="H7" s="7"/>
      <c r="I7" s="8" t="s">
        <v>3924</v>
      </c>
      <c r="J7" s="8" t="s">
        <v>3925</v>
      </c>
      <c r="K7" s="8" t="s">
        <v>3926</v>
      </c>
      <c r="L7" s="8" t="s">
        <v>3927</v>
      </c>
      <c r="M7" s="8" t="s">
        <v>3928</v>
      </c>
      <c r="N7" s="8" t="s">
        <v>3929</v>
      </c>
      <c r="O7" s="8" t="s">
        <v>3930</v>
      </c>
      <c r="P7" s="8" t="s">
        <v>3931</v>
      </c>
      <c r="Q7" s="8" t="s">
        <v>3932</v>
      </c>
      <c r="R7" s="8" t="s">
        <v>3933</v>
      </c>
      <c r="S7" s="8" t="s">
        <v>3934</v>
      </c>
      <c r="T7" s="8" t="s">
        <v>3935</v>
      </c>
      <c r="U7" s="8" t="s">
        <v>3936</v>
      </c>
      <c r="V7" s="8" t="s">
        <v>3937</v>
      </c>
      <c r="W7" s="8" t="s">
        <v>3938</v>
      </c>
      <c r="X7" s="8" t="s">
        <v>3939</v>
      </c>
    </row>
    <row r="8" ht="16.5" customHeight="1">
      <c r="A8" s="2" t="s">
        <v>3806</v>
      </c>
      <c r="B8" s="13" t="s">
        <v>3940</v>
      </c>
      <c r="C8" s="8" t="s">
        <v>3941</v>
      </c>
      <c r="D8" s="8" t="s">
        <v>3942</v>
      </c>
      <c r="E8" s="7"/>
      <c r="F8" s="7"/>
      <c r="G8" s="7"/>
      <c r="H8" s="7"/>
      <c r="I8" s="8" t="s">
        <v>3943</v>
      </c>
      <c r="J8" s="8" t="s">
        <v>3944</v>
      </c>
      <c r="K8" s="8" t="s">
        <v>3945</v>
      </c>
      <c r="L8" s="8" t="s">
        <v>3946</v>
      </c>
      <c r="M8" s="8" t="s">
        <v>3947</v>
      </c>
      <c r="N8" s="8" t="s">
        <v>3948</v>
      </c>
      <c r="O8" s="8" t="s">
        <v>3949</v>
      </c>
      <c r="P8" s="8" t="s">
        <v>3950</v>
      </c>
      <c r="Q8" s="8" t="s">
        <v>3951</v>
      </c>
      <c r="R8" s="8" t="s">
        <v>3952</v>
      </c>
      <c r="S8" s="8" t="s">
        <v>3953</v>
      </c>
      <c r="T8" s="8" t="s">
        <v>3954</v>
      </c>
      <c r="U8" s="8" t="s">
        <v>3955</v>
      </c>
      <c r="V8" s="8" t="s">
        <v>3956</v>
      </c>
      <c r="W8" s="8" t="s">
        <v>3957</v>
      </c>
      <c r="X8" s="8" t="s">
        <v>3958</v>
      </c>
    </row>
    <row r="9" ht="16.5" customHeight="1">
      <c r="A9" s="2" t="s">
        <v>3807</v>
      </c>
      <c r="B9" s="8" t="s">
        <v>3959</v>
      </c>
      <c r="C9" s="8" t="s">
        <v>3960</v>
      </c>
      <c r="D9" s="8" t="s">
        <v>3961</v>
      </c>
      <c r="E9" s="8" t="s">
        <v>3962</v>
      </c>
      <c r="F9" s="8" t="s">
        <v>3963</v>
      </c>
      <c r="G9" s="8" t="s">
        <v>3964</v>
      </c>
      <c r="H9" s="8" t="s">
        <v>3965</v>
      </c>
      <c r="I9" s="7"/>
      <c r="J9" s="7"/>
      <c r="K9" s="7"/>
      <c r="L9" s="7"/>
      <c r="M9" s="8" t="s">
        <v>3966</v>
      </c>
      <c r="N9" s="8" t="s">
        <v>3967</v>
      </c>
      <c r="O9" s="8" t="s">
        <v>3968</v>
      </c>
      <c r="P9" s="8" t="s">
        <v>3969</v>
      </c>
      <c r="Q9" s="8" t="s">
        <v>3970</v>
      </c>
      <c r="R9" s="8" t="s">
        <v>3971</v>
      </c>
      <c r="S9" s="8" t="s">
        <v>3972</v>
      </c>
      <c r="T9" s="8" t="s">
        <v>3973</v>
      </c>
      <c r="U9" s="8" t="s">
        <v>3974</v>
      </c>
      <c r="V9" s="8" t="s">
        <v>3975</v>
      </c>
      <c r="W9" s="8" t="s">
        <v>3976</v>
      </c>
      <c r="X9" s="8" t="s">
        <v>3977</v>
      </c>
    </row>
    <row r="10" ht="16.5" customHeight="1">
      <c r="A10" s="2" t="s">
        <v>3808</v>
      </c>
      <c r="B10" s="8" t="s">
        <v>3978</v>
      </c>
      <c r="C10" s="8" t="s">
        <v>3979</v>
      </c>
      <c r="D10" s="8" t="s">
        <v>3980</v>
      </c>
      <c r="E10" s="8" t="s">
        <v>3981</v>
      </c>
      <c r="F10" s="8" t="s">
        <v>3982</v>
      </c>
      <c r="G10" s="8" t="s">
        <v>3983</v>
      </c>
      <c r="H10" s="8" t="s">
        <v>3984</v>
      </c>
      <c r="I10" s="7"/>
      <c r="J10" s="7"/>
      <c r="K10" s="7"/>
      <c r="L10" s="7"/>
      <c r="M10" s="8" t="s">
        <v>3985</v>
      </c>
      <c r="N10" s="8" t="s">
        <v>3986</v>
      </c>
      <c r="O10" s="8" t="s">
        <v>3987</v>
      </c>
      <c r="P10" s="8" t="s">
        <v>3988</v>
      </c>
      <c r="Q10" s="8" t="s">
        <v>3989</v>
      </c>
      <c r="R10" s="8" t="s">
        <v>3990</v>
      </c>
      <c r="S10" s="8" t="s">
        <v>3991</v>
      </c>
      <c r="T10" s="8" t="s">
        <v>3992</v>
      </c>
      <c r="U10" s="8" t="s">
        <v>3993</v>
      </c>
      <c r="V10" s="8" t="s">
        <v>3994</v>
      </c>
      <c r="W10" s="8" t="s">
        <v>3995</v>
      </c>
      <c r="X10" s="8" t="s">
        <v>3996</v>
      </c>
    </row>
    <row r="11" ht="16.5" customHeight="1">
      <c r="A11" s="2" t="s">
        <v>3809</v>
      </c>
      <c r="B11" s="8" t="s">
        <v>3997</v>
      </c>
      <c r="C11" s="8" t="s">
        <v>3998</v>
      </c>
      <c r="D11" s="8" t="s">
        <v>3999</v>
      </c>
      <c r="E11" s="8" t="s">
        <v>4000</v>
      </c>
      <c r="F11" s="8" t="s">
        <v>4001</v>
      </c>
      <c r="G11" s="8" t="s">
        <v>4002</v>
      </c>
      <c r="H11" s="8" t="s">
        <v>4003</v>
      </c>
      <c r="I11" s="7"/>
      <c r="J11" s="7"/>
      <c r="K11" s="7"/>
      <c r="L11" s="7"/>
      <c r="M11" s="8" t="s">
        <v>4004</v>
      </c>
      <c r="N11" s="8" t="s">
        <v>4005</v>
      </c>
      <c r="O11" s="8" t="s">
        <v>4006</v>
      </c>
      <c r="P11" s="8" t="s">
        <v>4007</v>
      </c>
      <c r="Q11" s="8" t="s">
        <v>4008</v>
      </c>
      <c r="R11" s="8" t="s">
        <v>4009</v>
      </c>
      <c r="S11" s="8" t="s">
        <v>4010</v>
      </c>
      <c r="T11" s="8" t="s">
        <v>4011</v>
      </c>
      <c r="U11" s="8" t="s">
        <v>4012</v>
      </c>
      <c r="V11" s="8" t="s">
        <v>4013</v>
      </c>
      <c r="W11" s="8" t="s">
        <v>4014</v>
      </c>
      <c r="X11" s="8" t="s">
        <v>4015</v>
      </c>
    </row>
    <row r="12" ht="16.5" customHeight="1">
      <c r="A12" s="2" t="s">
        <v>3810</v>
      </c>
      <c r="B12" s="8" t="s">
        <v>4016</v>
      </c>
      <c r="C12" s="8" t="s">
        <v>4017</v>
      </c>
      <c r="D12" s="8" t="s">
        <v>4018</v>
      </c>
      <c r="E12" s="8" t="s">
        <v>4019</v>
      </c>
      <c r="F12" s="8" t="s">
        <v>4020</v>
      </c>
      <c r="G12" s="8" t="s">
        <v>4021</v>
      </c>
      <c r="H12" s="8" t="s">
        <v>4022</v>
      </c>
      <c r="I12" s="7"/>
      <c r="J12" s="7"/>
      <c r="K12" s="7"/>
      <c r="L12" s="7"/>
      <c r="M12" s="8" t="s">
        <v>4023</v>
      </c>
      <c r="N12" s="8" t="s">
        <v>4024</v>
      </c>
      <c r="O12" s="8" t="s">
        <v>4025</v>
      </c>
      <c r="P12" s="8" t="s">
        <v>4026</v>
      </c>
      <c r="Q12" s="8" t="s">
        <v>4027</v>
      </c>
      <c r="R12" s="8" t="s">
        <v>4028</v>
      </c>
      <c r="S12" s="8" t="s">
        <v>4029</v>
      </c>
      <c r="T12" s="8" t="s">
        <v>4030</v>
      </c>
      <c r="U12" s="8" t="s">
        <v>4031</v>
      </c>
      <c r="V12" s="8" t="s">
        <v>4032</v>
      </c>
      <c r="W12" s="8" t="s">
        <v>4033</v>
      </c>
      <c r="X12" s="8" t="s">
        <v>4034</v>
      </c>
    </row>
    <row r="13" ht="16.5" customHeight="1">
      <c r="A13" s="2" t="s">
        <v>3811</v>
      </c>
      <c r="B13" s="8" t="s">
        <v>4035</v>
      </c>
      <c r="C13" s="8" t="s">
        <v>4036</v>
      </c>
      <c r="D13" s="8" t="s">
        <v>4037</v>
      </c>
      <c r="E13" s="8" t="s">
        <v>4038</v>
      </c>
      <c r="F13" s="8" t="s">
        <v>4039</v>
      </c>
      <c r="G13" s="8" t="s">
        <v>4040</v>
      </c>
      <c r="H13" s="8" t="s">
        <v>4041</v>
      </c>
      <c r="I13" s="8" t="s">
        <v>4042</v>
      </c>
      <c r="J13" s="8" t="s">
        <v>4043</v>
      </c>
      <c r="K13" s="8" t="s">
        <v>4044</v>
      </c>
      <c r="L13" s="8" t="s">
        <v>4045</v>
      </c>
      <c r="M13" s="7"/>
      <c r="N13" s="7"/>
      <c r="O13" s="7"/>
      <c r="P13" s="7"/>
      <c r="Q13" s="8" t="s">
        <v>4046</v>
      </c>
      <c r="R13" s="8" t="s">
        <v>4047</v>
      </c>
      <c r="S13" s="8" t="s">
        <v>4048</v>
      </c>
      <c r="T13" s="8" t="s">
        <v>4049</v>
      </c>
      <c r="U13" s="8" t="s">
        <v>4050</v>
      </c>
      <c r="V13" s="8" t="s">
        <v>4051</v>
      </c>
      <c r="W13" s="8" t="s">
        <v>4052</v>
      </c>
      <c r="X13" s="8" t="s">
        <v>4053</v>
      </c>
    </row>
    <row r="14" ht="16.5" customHeight="1">
      <c r="A14" s="2" t="s">
        <v>3812</v>
      </c>
      <c r="B14" s="8" t="s">
        <v>4054</v>
      </c>
      <c r="C14" s="8" t="s">
        <v>4055</v>
      </c>
      <c r="D14" s="8" t="s">
        <v>4056</v>
      </c>
      <c r="E14" s="8" t="s">
        <v>4057</v>
      </c>
      <c r="F14" s="8" t="s">
        <v>4058</v>
      </c>
      <c r="G14" s="8" t="s">
        <v>4059</v>
      </c>
      <c r="H14" s="8" t="s">
        <v>4060</v>
      </c>
      <c r="I14" s="8" t="s">
        <v>4061</v>
      </c>
      <c r="J14" s="8" t="s">
        <v>4062</v>
      </c>
      <c r="K14" s="8" t="s">
        <v>4063</v>
      </c>
      <c r="L14" s="8" t="s">
        <v>4064</v>
      </c>
      <c r="M14" s="7"/>
      <c r="N14" s="7"/>
      <c r="O14" s="7"/>
      <c r="P14" s="7"/>
      <c r="Q14" s="8" t="s">
        <v>4065</v>
      </c>
      <c r="R14" s="8" t="s">
        <v>4066</v>
      </c>
      <c r="S14" s="8" t="s">
        <v>4067</v>
      </c>
      <c r="T14" s="8" t="s">
        <v>4068</v>
      </c>
      <c r="U14" s="8" t="s">
        <v>4069</v>
      </c>
      <c r="V14" s="8" t="s">
        <v>4070</v>
      </c>
      <c r="W14" s="8" t="s">
        <v>4071</v>
      </c>
      <c r="X14" s="8" t="s">
        <v>4072</v>
      </c>
    </row>
    <row r="15" ht="16.5" customHeight="1">
      <c r="A15" s="2" t="s">
        <v>3813</v>
      </c>
      <c r="B15" s="8" t="s">
        <v>4073</v>
      </c>
      <c r="C15" s="8" t="s">
        <v>4074</v>
      </c>
      <c r="D15" s="8" t="s">
        <v>4075</v>
      </c>
      <c r="E15" s="8" t="s">
        <v>4076</v>
      </c>
      <c r="F15" s="8" t="s">
        <v>4077</v>
      </c>
      <c r="G15" s="8" t="s">
        <v>4078</v>
      </c>
      <c r="H15" s="8" t="s">
        <v>4079</v>
      </c>
      <c r="I15" s="8" t="s">
        <v>4080</v>
      </c>
      <c r="J15" s="8" t="s">
        <v>4081</v>
      </c>
      <c r="K15" s="8" t="s">
        <v>4082</v>
      </c>
      <c r="L15" s="8" t="s">
        <v>4083</v>
      </c>
      <c r="M15" s="7"/>
      <c r="N15" s="7"/>
      <c r="O15" s="7"/>
      <c r="P15" s="7"/>
      <c r="Q15" s="8" t="s">
        <v>4084</v>
      </c>
      <c r="R15" s="8" t="s">
        <v>4085</v>
      </c>
      <c r="S15" s="8" t="s">
        <v>4086</v>
      </c>
      <c r="T15" s="8" t="s">
        <v>4087</v>
      </c>
      <c r="U15" s="8" t="s">
        <v>4088</v>
      </c>
      <c r="V15" s="8" t="s">
        <v>4089</v>
      </c>
      <c r="W15" s="8" t="s">
        <v>4090</v>
      </c>
      <c r="X15" s="8" t="s">
        <v>4091</v>
      </c>
    </row>
    <row r="16" ht="16.5" customHeight="1">
      <c r="A16" s="2" t="s">
        <v>3814</v>
      </c>
      <c r="B16" s="8" t="s">
        <v>4092</v>
      </c>
      <c r="C16" s="8" t="s">
        <v>4093</v>
      </c>
      <c r="D16" s="13" t="s">
        <v>4094</v>
      </c>
      <c r="E16" s="8" t="s">
        <v>4095</v>
      </c>
      <c r="F16" s="8" t="s">
        <v>4096</v>
      </c>
      <c r="G16" s="8" t="s">
        <v>4097</v>
      </c>
      <c r="H16" s="8" t="s">
        <v>4098</v>
      </c>
      <c r="I16" s="8" t="s">
        <v>4099</v>
      </c>
      <c r="J16" s="8" t="s">
        <v>4100</v>
      </c>
      <c r="K16" s="8" t="s">
        <v>4101</v>
      </c>
      <c r="L16" s="8" t="s">
        <v>4102</v>
      </c>
      <c r="M16" s="7"/>
      <c r="N16" s="7"/>
      <c r="O16" s="7"/>
      <c r="P16" s="7"/>
      <c r="Q16" s="8" t="s">
        <v>4103</v>
      </c>
      <c r="R16" s="8" t="s">
        <v>4104</v>
      </c>
      <c r="S16" s="8" t="s">
        <v>4105</v>
      </c>
      <c r="T16" s="8" t="s">
        <v>4106</v>
      </c>
      <c r="U16" s="8" t="s">
        <v>4107</v>
      </c>
      <c r="V16" s="8" t="s">
        <v>4108</v>
      </c>
      <c r="W16" s="8" t="s">
        <v>4109</v>
      </c>
      <c r="X16" s="8" t="s">
        <v>4110</v>
      </c>
    </row>
    <row r="17" ht="16.5" customHeight="1">
      <c r="A17" s="2" t="s">
        <v>3815</v>
      </c>
      <c r="B17" s="8" t="s">
        <v>4111</v>
      </c>
      <c r="C17" s="8" t="s">
        <v>4112</v>
      </c>
      <c r="D17" s="8" t="s">
        <v>4113</v>
      </c>
      <c r="E17" s="8" t="s">
        <v>4114</v>
      </c>
      <c r="F17" s="8" t="s">
        <v>4115</v>
      </c>
      <c r="G17" s="8" t="s">
        <v>4116</v>
      </c>
      <c r="H17" s="8" t="s">
        <v>4117</v>
      </c>
      <c r="I17" s="8" t="s">
        <v>4118</v>
      </c>
      <c r="J17" s="8" t="s">
        <v>4119</v>
      </c>
      <c r="K17" s="8" t="s">
        <v>4120</v>
      </c>
      <c r="L17" s="8" t="s">
        <v>4121</v>
      </c>
      <c r="M17" s="8" t="s">
        <v>4122</v>
      </c>
      <c r="N17" s="8" t="s">
        <v>4123</v>
      </c>
      <c r="O17" s="8" t="s">
        <v>4124</v>
      </c>
      <c r="P17" s="8" t="s">
        <v>4125</v>
      </c>
      <c r="Q17" s="7"/>
      <c r="R17" s="7"/>
      <c r="S17" s="7"/>
      <c r="T17" s="7"/>
      <c r="U17" s="8" t="s">
        <v>4126</v>
      </c>
      <c r="V17" s="8" t="s">
        <v>4127</v>
      </c>
      <c r="W17" s="8" t="s">
        <v>4128</v>
      </c>
      <c r="X17" s="8" t="s">
        <v>4129</v>
      </c>
    </row>
    <row r="18" ht="16.5" customHeight="1">
      <c r="A18" s="2" t="s">
        <v>3816</v>
      </c>
      <c r="B18" s="8" t="s">
        <v>4130</v>
      </c>
      <c r="C18" s="13" t="s">
        <v>3856</v>
      </c>
      <c r="D18" s="8" t="s">
        <v>4131</v>
      </c>
      <c r="E18" s="8" t="s">
        <v>4132</v>
      </c>
      <c r="F18" s="8" t="s">
        <v>4133</v>
      </c>
      <c r="G18" s="8" t="s">
        <v>4134</v>
      </c>
      <c r="H18" s="8" t="s">
        <v>4135</v>
      </c>
      <c r="I18" s="8" t="s">
        <v>4136</v>
      </c>
      <c r="J18" s="8" t="s">
        <v>4137</v>
      </c>
      <c r="K18" s="8" t="s">
        <v>4138</v>
      </c>
      <c r="L18" s="8" t="s">
        <v>4139</v>
      </c>
      <c r="M18" s="8" t="s">
        <v>4140</v>
      </c>
      <c r="N18" s="8" t="s">
        <v>4141</v>
      </c>
      <c r="O18" s="8" t="s">
        <v>4142</v>
      </c>
      <c r="P18" s="8" t="s">
        <v>4143</v>
      </c>
      <c r="Q18" s="7"/>
      <c r="R18" s="7"/>
      <c r="S18" s="7"/>
      <c r="T18" s="7"/>
      <c r="U18" s="8" t="s">
        <v>4144</v>
      </c>
      <c r="V18" s="8" t="s">
        <v>4145</v>
      </c>
      <c r="W18" s="8" t="s">
        <v>4146</v>
      </c>
      <c r="X18" s="8" t="s">
        <v>4147</v>
      </c>
    </row>
    <row r="19" ht="16.5" customHeight="1">
      <c r="A19" s="2" t="s">
        <v>3817</v>
      </c>
      <c r="B19" s="8" t="s">
        <v>4148</v>
      </c>
      <c r="C19" s="8" t="s">
        <v>4149</v>
      </c>
      <c r="D19" s="8" t="s">
        <v>4150</v>
      </c>
      <c r="E19" s="8" t="s">
        <v>4151</v>
      </c>
      <c r="F19" s="8" t="s">
        <v>4152</v>
      </c>
      <c r="G19" s="8" t="s">
        <v>4153</v>
      </c>
      <c r="H19" s="8" t="s">
        <v>4154</v>
      </c>
      <c r="I19" s="8" t="s">
        <v>4155</v>
      </c>
      <c r="J19" s="8" t="s">
        <v>4156</v>
      </c>
      <c r="K19" s="8" t="s">
        <v>4157</v>
      </c>
      <c r="L19" s="8" t="s">
        <v>4158</v>
      </c>
      <c r="M19" s="8" t="s">
        <v>4159</v>
      </c>
      <c r="N19" s="8" t="s">
        <v>4160</v>
      </c>
      <c r="O19" s="8" t="s">
        <v>4161</v>
      </c>
      <c r="P19" s="8" t="s">
        <v>4162</v>
      </c>
      <c r="Q19" s="7"/>
      <c r="R19" s="7"/>
      <c r="S19" s="7"/>
      <c r="T19" s="59"/>
      <c r="U19" s="8" t="s">
        <v>4163</v>
      </c>
      <c r="V19" s="8" t="s">
        <v>4164</v>
      </c>
      <c r="W19" s="8" t="s">
        <v>4165</v>
      </c>
      <c r="X19" s="8" t="s">
        <v>4166</v>
      </c>
    </row>
    <row r="20" ht="16.5" customHeight="1">
      <c r="A20" s="2" t="s">
        <v>3818</v>
      </c>
      <c r="B20" s="8" t="s">
        <v>4167</v>
      </c>
      <c r="C20" s="8" t="s">
        <v>4168</v>
      </c>
      <c r="D20" s="8" t="s">
        <v>4169</v>
      </c>
      <c r="E20" s="8" t="s">
        <v>4170</v>
      </c>
      <c r="F20" s="8" t="s">
        <v>4171</v>
      </c>
      <c r="G20" s="8" t="s">
        <v>4172</v>
      </c>
      <c r="H20" s="8" t="s">
        <v>4173</v>
      </c>
      <c r="I20" s="8" t="s">
        <v>4174</v>
      </c>
      <c r="J20" s="8" t="s">
        <v>4175</v>
      </c>
      <c r="K20" s="8" t="s">
        <v>4176</v>
      </c>
      <c r="L20" s="8" t="s">
        <v>4177</v>
      </c>
      <c r="M20" s="8" t="s">
        <v>4178</v>
      </c>
      <c r="N20" s="8" t="s">
        <v>4179</v>
      </c>
      <c r="O20" s="8" t="s">
        <v>4180</v>
      </c>
      <c r="P20" s="8" t="s">
        <v>4181</v>
      </c>
      <c r="Q20" s="7"/>
      <c r="R20" s="7"/>
      <c r="S20" s="7"/>
      <c r="T20" s="7"/>
      <c r="U20" s="8" t="s">
        <v>4182</v>
      </c>
      <c r="V20" s="8" t="s">
        <v>4183</v>
      </c>
      <c r="W20" s="8" t="s">
        <v>4184</v>
      </c>
      <c r="X20" s="8" t="s">
        <v>4185</v>
      </c>
    </row>
    <row r="21" ht="16.5" customHeight="1">
      <c r="A21" s="2" t="s">
        <v>3819</v>
      </c>
      <c r="B21" s="8" t="s">
        <v>4186</v>
      </c>
      <c r="C21" s="8" t="s">
        <v>4187</v>
      </c>
      <c r="D21" s="8" t="s">
        <v>4188</v>
      </c>
      <c r="E21" s="8" t="s">
        <v>4189</v>
      </c>
      <c r="F21" s="8" t="s">
        <v>4190</v>
      </c>
      <c r="G21" s="8" t="s">
        <v>4191</v>
      </c>
      <c r="H21" s="8" t="s">
        <v>4192</v>
      </c>
      <c r="I21" s="8" t="s">
        <v>4193</v>
      </c>
      <c r="J21" s="8" t="s">
        <v>4194</v>
      </c>
      <c r="K21" s="8" t="s">
        <v>4195</v>
      </c>
      <c r="L21" s="8" t="s">
        <v>4196</v>
      </c>
      <c r="M21" s="8" t="s">
        <v>4197</v>
      </c>
      <c r="N21" s="8" t="s">
        <v>4198</v>
      </c>
      <c r="O21" s="8" t="s">
        <v>4199</v>
      </c>
      <c r="P21" s="8" t="s">
        <v>4200</v>
      </c>
      <c r="Q21" s="8" t="s">
        <v>4201</v>
      </c>
      <c r="R21" s="8" t="s">
        <v>4202</v>
      </c>
      <c r="S21" s="8" t="s">
        <v>4203</v>
      </c>
      <c r="T21" s="8" t="s">
        <v>4204</v>
      </c>
      <c r="U21" s="7"/>
      <c r="V21" s="7"/>
      <c r="W21" s="7"/>
      <c r="X21" s="7"/>
    </row>
    <row r="22" ht="16.5" customHeight="1">
      <c r="A22" s="2" t="s">
        <v>3820</v>
      </c>
      <c r="B22" s="8" t="s">
        <v>4205</v>
      </c>
      <c r="C22" s="8" t="s">
        <v>4206</v>
      </c>
      <c r="D22" s="8" t="s">
        <v>4207</v>
      </c>
      <c r="E22" s="8" t="s">
        <v>4208</v>
      </c>
      <c r="F22" s="8" t="s">
        <v>4209</v>
      </c>
      <c r="G22" s="8" t="s">
        <v>4210</v>
      </c>
      <c r="H22" s="8" t="s">
        <v>4211</v>
      </c>
      <c r="I22" s="8" t="s">
        <v>4212</v>
      </c>
      <c r="J22" s="8" t="s">
        <v>4213</v>
      </c>
      <c r="K22" s="8" t="s">
        <v>4214</v>
      </c>
      <c r="L22" s="8" t="s">
        <v>4215</v>
      </c>
      <c r="M22" s="8" t="s">
        <v>4216</v>
      </c>
      <c r="N22" s="8" t="s">
        <v>4217</v>
      </c>
      <c r="O22" s="8" t="s">
        <v>4218</v>
      </c>
      <c r="P22" s="8" t="s">
        <v>4219</v>
      </c>
      <c r="Q22" s="8" t="s">
        <v>4220</v>
      </c>
      <c r="R22" s="8" t="s">
        <v>4221</v>
      </c>
      <c r="S22" s="8" t="s">
        <v>4222</v>
      </c>
      <c r="T22" s="8" t="s">
        <v>4223</v>
      </c>
      <c r="U22" s="7"/>
      <c r="V22" s="7"/>
      <c r="W22" s="7"/>
      <c r="X22" s="7"/>
    </row>
    <row r="23" ht="16.5" customHeight="1">
      <c r="A23" s="2" t="s">
        <v>3821</v>
      </c>
      <c r="B23" s="8" t="s">
        <v>4224</v>
      </c>
      <c r="C23" s="8" t="s">
        <v>4225</v>
      </c>
      <c r="D23" s="8" t="s">
        <v>4226</v>
      </c>
      <c r="E23" s="8" t="s">
        <v>4227</v>
      </c>
      <c r="F23" s="8" t="s">
        <v>4228</v>
      </c>
      <c r="G23" s="8" t="s">
        <v>4229</v>
      </c>
      <c r="H23" s="8" t="s">
        <v>4230</v>
      </c>
      <c r="I23" s="8" t="s">
        <v>4231</v>
      </c>
      <c r="J23" s="8" t="s">
        <v>4232</v>
      </c>
      <c r="K23" s="8" t="s">
        <v>4233</v>
      </c>
      <c r="L23" s="8" t="s">
        <v>4234</v>
      </c>
      <c r="M23" s="8" t="s">
        <v>4235</v>
      </c>
      <c r="N23" s="8" t="s">
        <v>4236</v>
      </c>
      <c r="O23" s="8" t="s">
        <v>4237</v>
      </c>
      <c r="P23" s="8" t="s">
        <v>4238</v>
      </c>
      <c r="Q23" s="8" t="s">
        <v>4239</v>
      </c>
      <c r="R23" s="8" t="s">
        <v>4240</v>
      </c>
      <c r="S23" s="8" t="s">
        <v>4241</v>
      </c>
      <c r="T23" s="8" t="s">
        <v>4242</v>
      </c>
      <c r="U23" s="7"/>
      <c r="V23" s="7"/>
      <c r="W23" s="7"/>
      <c r="X23" s="7"/>
    </row>
    <row r="24" ht="16.5" customHeight="1">
      <c r="A24" s="2" t="s">
        <v>3822</v>
      </c>
      <c r="B24" s="8" t="s">
        <v>4243</v>
      </c>
      <c r="C24" s="8" t="s">
        <v>4244</v>
      </c>
      <c r="D24" s="8" t="s">
        <v>4245</v>
      </c>
      <c r="E24" s="8" t="s">
        <v>4246</v>
      </c>
      <c r="F24" s="8" t="s">
        <v>4247</v>
      </c>
      <c r="G24" s="8" t="s">
        <v>4248</v>
      </c>
      <c r="H24" s="8" t="s">
        <v>4249</v>
      </c>
      <c r="I24" s="8" t="s">
        <v>4250</v>
      </c>
      <c r="J24" s="8" t="s">
        <v>4251</v>
      </c>
      <c r="K24" s="8" t="s">
        <v>4252</v>
      </c>
      <c r="L24" s="8" t="s">
        <v>4253</v>
      </c>
      <c r="M24" s="8" t="s">
        <v>4254</v>
      </c>
      <c r="N24" s="8" t="s">
        <v>4255</v>
      </c>
      <c r="O24" s="8" t="s">
        <v>4256</v>
      </c>
      <c r="P24" s="8" t="s">
        <v>4257</v>
      </c>
      <c r="Q24" s="8" t="s">
        <v>4258</v>
      </c>
      <c r="R24" s="8" t="s">
        <v>4259</v>
      </c>
      <c r="S24" s="8" t="s">
        <v>4260</v>
      </c>
      <c r="T24" s="8" t="s">
        <v>4261</v>
      </c>
      <c r="U24" s="7"/>
      <c r="V24" s="7"/>
      <c r="W24" s="7"/>
      <c r="X24" s="7"/>
    </row>
    <row r="25" ht="16.5" customHeight="1">
      <c r="A25" s="1"/>
    </row>
    <row r="26" ht="16.5" customHeight="1">
      <c r="A26" s="1"/>
      <c r="B26" s="8" t="s">
        <v>4262</v>
      </c>
      <c r="D26" s="60" t="s">
        <v>4263</v>
      </c>
      <c r="E26" s="61" t="s">
        <v>4264</v>
      </c>
      <c r="F26" s="62" t="s">
        <v>4265</v>
      </c>
      <c r="G26" s="63" t="s">
        <v>4266</v>
      </c>
      <c r="H26" s="64" t="s">
        <v>4267</v>
      </c>
      <c r="I26" s="65" t="s">
        <v>4268</v>
      </c>
    </row>
    <row r="27" ht="16.5" customHeight="1">
      <c r="A27" s="1"/>
      <c r="B27" s="58">
        <f>529-COUNTBLANK(B2:X24)</f>
        <v>440</v>
      </c>
    </row>
    <row r="28" ht="16.5" customHeight="1">
      <c r="A28" s="1"/>
      <c r="D28" s="8" t="s">
        <v>4269</v>
      </c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5" width="16.71"/>
  </cols>
  <sheetData>
    <row r="1" ht="16.5" customHeight="1">
      <c r="A1" s="1" t="s">
        <v>0</v>
      </c>
      <c r="B1" s="2" t="s">
        <v>4270</v>
      </c>
      <c r="C1" s="2" t="s">
        <v>4271</v>
      </c>
      <c r="D1" s="2" t="s">
        <v>4272</v>
      </c>
      <c r="E1" s="2" t="s">
        <v>4273</v>
      </c>
      <c r="F1" s="2" t="s">
        <v>4274</v>
      </c>
      <c r="G1" s="2" t="s">
        <v>4275</v>
      </c>
      <c r="H1" s="2" t="s">
        <v>4276</v>
      </c>
      <c r="I1" s="2" t="s">
        <v>4277</v>
      </c>
      <c r="J1" s="2" t="s">
        <v>4278</v>
      </c>
      <c r="K1" s="2" t="s">
        <v>4279</v>
      </c>
      <c r="L1" s="2" t="s">
        <v>4280</v>
      </c>
      <c r="M1" s="2" t="s">
        <v>4281</v>
      </c>
      <c r="N1" s="2" t="s">
        <v>4282</v>
      </c>
      <c r="O1" s="2" t="s">
        <v>4283</v>
      </c>
      <c r="P1" s="2" t="s">
        <v>4284</v>
      </c>
      <c r="Q1" s="2" t="s">
        <v>4285</v>
      </c>
      <c r="R1" s="2" t="s">
        <v>4286</v>
      </c>
      <c r="S1" s="2" t="s">
        <v>4287</v>
      </c>
      <c r="T1" s="2" t="s">
        <v>4288</v>
      </c>
      <c r="U1" s="2" t="s">
        <v>4289</v>
      </c>
      <c r="V1" s="2" t="s">
        <v>4290</v>
      </c>
      <c r="W1" s="2" t="s">
        <v>4291</v>
      </c>
      <c r="X1" s="2" t="s">
        <v>4292</v>
      </c>
      <c r="Y1" s="2"/>
    </row>
    <row r="2" ht="16.5" customHeight="1">
      <c r="A2" s="2" t="s">
        <v>4270</v>
      </c>
      <c r="B2" s="4"/>
      <c r="C2" s="4"/>
      <c r="D2" s="4"/>
      <c r="E2" s="32" t="s">
        <v>4293</v>
      </c>
      <c r="F2" s="13" t="s">
        <v>4294</v>
      </c>
      <c r="G2" s="8" t="s">
        <v>4295</v>
      </c>
      <c r="H2" s="8" t="s">
        <v>4296</v>
      </c>
      <c r="I2" s="8" t="s">
        <v>4297</v>
      </c>
      <c r="J2" s="8" t="s">
        <v>4298</v>
      </c>
      <c r="K2" t="s">
        <v>4299</v>
      </c>
      <c r="L2" s="8" t="s">
        <v>4300</v>
      </c>
      <c r="M2" s="8" t="s">
        <v>4301</v>
      </c>
      <c r="N2" t="s">
        <v>4302</v>
      </c>
      <c r="O2" s="66" t="s">
        <v>4303</v>
      </c>
      <c r="P2" t="s">
        <v>4304</v>
      </c>
      <c r="Q2" s="8" t="s">
        <v>4305</v>
      </c>
      <c r="R2" t="s">
        <v>4306</v>
      </c>
      <c r="S2" s="8" t="s">
        <v>4307</v>
      </c>
      <c r="T2" t="s">
        <v>4308</v>
      </c>
      <c r="U2" t="s">
        <v>4309</v>
      </c>
      <c r="V2" s="8" t="s">
        <v>4310</v>
      </c>
      <c r="W2" s="32" t="s">
        <v>4311</v>
      </c>
      <c r="X2" s="8" t="s">
        <v>4312</v>
      </c>
    </row>
    <row r="3" ht="16.5" customHeight="1">
      <c r="A3" s="2" t="s">
        <v>4271</v>
      </c>
      <c r="B3" s="4"/>
      <c r="C3" s="4"/>
      <c r="D3" s="4"/>
      <c r="E3" t="s">
        <v>4313</v>
      </c>
      <c r="F3" s="8" t="s">
        <v>4314</v>
      </c>
      <c r="G3" t="s">
        <v>4315</v>
      </c>
      <c r="H3" s="8" t="s">
        <v>4316</v>
      </c>
      <c r="I3" s="8" t="s">
        <v>4317</v>
      </c>
      <c r="J3" t="s">
        <v>4318</v>
      </c>
      <c r="K3" s="8" t="s">
        <v>4319</v>
      </c>
      <c r="L3" t="s">
        <v>4320</v>
      </c>
      <c r="M3" s="8" t="s">
        <v>4321</v>
      </c>
      <c r="N3" t="s">
        <v>4322</v>
      </c>
      <c r="O3" s="8" t="s">
        <v>4323</v>
      </c>
      <c r="P3" t="s">
        <v>4324</v>
      </c>
      <c r="Q3" t="s">
        <v>4325</v>
      </c>
      <c r="R3" t="s">
        <v>4326</v>
      </c>
      <c r="S3" t="s">
        <v>4327</v>
      </c>
      <c r="T3" t="s">
        <v>4328</v>
      </c>
      <c r="U3" s="52" t="s">
        <v>4329</v>
      </c>
      <c r="V3" s="8" t="s">
        <v>4330</v>
      </c>
      <c r="W3" s="8" t="s">
        <v>4331</v>
      </c>
      <c r="X3" s="8" t="s">
        <v>4332</v>
      </c>
    </row>
    <row r="4" ht="16.5" customHeight="1">
      <c r="A4" s="2" t="s">
        <v>4272</v>
      </c>
      <c r="B4" s="4"/>
      <c r="C4" s="4"/>
      <c r="D4" s="4"/>
      <c r="E4" s="8" t="s">
        <v>4333</v>
      </c>
      <c r="F4" s="8" t="s">
        <v>4334</v>
      </c>
      <c r="G4" s="32" t="s">
        <v>4335</v>
      </c>
      <c r="H4" s="8" t="s">
        <v>4336</v>
      </c>
      <c r="I4" t="s">
        <v>4337</v>
      </c>
      <c r="J4" s="8" t="s">
        <v>4338</v>
      </c>
      <c r="K4" s="8" t="s">
        <v>4339</v>
      </c>
      <c r="L4" t="s">
        <v>4340</v>
      </c>
      <c r="M4" s="8" t="s">
        <v>4341</v>
      </c>
      <c r="N4" t="s">
        <v>4342</v>
      </c>
      <c r="O4" s="8" t="s">
        <v>4341</v>
      </c>
      <c r="P4" t="s">
        <v>4343</v>
      </c>
      <c r="Q4" s="8" t="s">
        <v>4344</v>
      </c>
      <c r="R4" t="s">
        <v>4345</v>
      </c>
      <c r="S4" t="s">
        <v>4346</v>
      </c>
      <c r="T4" t="s">
        <v>4347</v>
      </c>
      <c r="U4" s="8" t="s">
        <v>4348</v>
      </c>
      <c r="V4" s="8" t="s">
        <v>4349</v>
      </c>
      <c r="W4" s="8" t="s">
        <v>4350</v>
      </c>
      <c r="X4" s="8" t="s">
        <v>4351</v>
      </c>
    </row>
    <row r="5" ht="16.5" customHeight="1">
      <c r="A5" s="2" t="s">
        <v>4273</v>
      </c>
      <c r="B5" s="32" t="s">
        <v>4352</v>
      </c>
      <c r="C5" s="52" t="s">
        <v>4353</v>
      </c>
      <c r="D5" s="8" t="s">
        <v>4354</v>
      </c>
      <c r="E5" s="4"/>
      <c r="F5" s="4"/>
      <c r="G5" s="4"/>
      <c r="H5" s="4"/>
      <c r="I5" s="32" t="s">
        <v>4355</v>
      </c>
      <c r="J5" s="52" t="s">
        <v>4356</v>
      </c>
      <c r="K5" s="52" t="s">
        <v>4357</v>
      </c>
      <c r="L5" s="52" t="s">
        <v>4358</v>
      </c>
      <c r="M5" s="32" t="s">
        <v>4359</v>
      </c>
      <c r="N5" s="32" t="s">
        <v>4360</v>
      </c>
      <c r="O5" s="32" t="s">
        <v>4361</v>
      </c>
      <c r="P5" s="52" t="s">
        <v>4362</v>
      </c>
      <c r="Q5" s="32" t="s">
        <v>4363</v>
      </c>
      <c r="R5" s="52" t="s">
        <v>4364</v>
      </c>
      <c r="S5" s="32" t="s">
        <v>4365</v>
      </c>
      <c r="T5" s="32" t="s">
        <v>4366</v>
      </c>
      <c r="U5" s="32" t="s">
        <v>4367</v>
      </c>
      <c r="V5" s="52" t="s">
        <v>4368</v>
      </c>
      <c r="W5" s="52" t="s">
        <v>4369</v>
      </c>
      <c r="X5" s="52" t="s">
        <v>4370</v>
      </c>
    </row>
    <row r="6" ht="16.5" customHeight="1">
      <c r="A6" s="2" t="s">
        <v>4274</v>
      </c>
      <c r="B6" s="13" t="s">
        <v>4371</v>
      </c>
      <c r="C6" s="8" t="s">
        <v>4372</v>
      </c>
      <c r="D6" s="8" t="s">
        <v>4373</v>
      </c>
      <c r="E6" s="4"/>
      <c r="F6" s="4"/>
      <c r="G6" s="4"/>
      <c r="H6" s="4"/>
      <c r="I6" s="52" t="s">
        <v>4374</v>
      </c>
      <c r="J6" s="52" t="s">
        <v>4375</v>
      </c>
      <c r="K6" s="52" t="s">
        <v>4376</v>
      </c>
      <c r="L6" s="52" t="s">
        <v>4377</v>
      </c>
      <c r="M6" s="32" t="s">
        <v>4378</v>
      </c>
      <c r="N6" s="32" t="s">
        <v>4379</v>
      </c>
      <c r="O6" s="32" t="s">
        <v>4380</v>
      </c>
      <c r="P6" s="32" t="s">
        <v>4381</v>
      </c>
      <c r="Q6" s="52" t="s">
        <v>4382</v>
      </c>
      <c r="R6" s="32" t="s">
        <v>4383</v>
      </c>
      <c r="S6" s="52" t="s">
        <v>4384</v>
      </c>
      <c r="T6" s="32" t="s">
        <v>4385</v>
      </c>
      <c r="U6" s="32" t="s">
        <v>4386</v>
      </c>
      <c r="V6" s="11" t="s">
        <v>4387</v>
      </c>
      <c r="W6" s="52" t="s">
        <v>4388</v>
      </c>
      <c r="X6" s="32" t="s">
        <v>4389</v>
      </c>
    </row>
    <row r="7" ht="16.5" customHeight="1">
      <c r="A7" s="2" t="s">
        <v>4275</v>
      </c>
      <c r="B7" s="8" t="s">
        <v>4390</v>
      </c>
      <c r="C7" s="52" t="s">
        <v>4391</v>
      </c>
      <c r="D7" s="32" t="s">
        <v>4392</v>
      </c>
      <c r="E7" s="4"/>
      <c r="F7" s="4"/>
      <c r="G7" s="4"/>
      <c r="H7" s="4"/>
      <c r="I7" s="52" t="s">
        <v>4355</v>
      </c>
      <c r="J7" s="52" t="s">
        <v>4393</v>
      </c>
      <c r="K7" s="32" t="s">
        <v>4394</v>
      </c>
      <c r="L7" s="52" t="s">
        <v>4395</v>
      </c>
      <c r="M7" s="32" t="s">
        <v>4396</v>
      </c>
      <c r="N7" s="52" t="s">
        <v>4397</v>
      </c>
      <c r="O7" s="32" t="s">
        <v>4398</v>
      </c>
      <c r="P7" s="52" t="s">
        <v>4399</v>
      </c>
      <c r="Q7" s="32" t="s">
        <v>4400</v>
      </c>
      <c r="R7" s="52" t="s">
        <v>4401</v>
      </c>
      <c r="S7" s="52" t="s">
        <v>4402</v>
      </c>
      <c r="T7" s="52" t="s">
        <v>4403</v>
      </c>
      <c r="U7" s="32" t="s">
        <v>4404</v>
      </c>
      <c r="V7" s="52" t="s">
        <v>4405</v>
      </c>
      <c r="W7" s="32" t="s">
        <v>4406</v>
      </c>
      <c r="X7" s="52" t="s">
        <v>4407</v>
      </c>
    </row>
    <row r="8" ht="16.5" customHeight="1">
      <c r="A8" s="2" t="s">
        <v>4276</v>
      </c>
      <c r="B8" s="32" t="s">
        <v>4408</v>
      </c>
      <c r="C8" s="8" t="s">
        <v>4409</v>
      </c>
      <c r="D8" s="8" t="s">
        <v>4410</v>
      </c>
      <c r="E8" s="4"/>
      <c r="F8" s="4"/>
      <c r="G8" s="4"/>
      <c r="H8" s="4"/>
      <c r="I8" s="52" t="s">
        <v>4411</v>
      </c>
      <c r="J8" s="52" t="s">
        <v>4412</v>
      </c>
      <c r="K8" s="52" t="s">
        <v>4413</v>
      </c>
      <c r="L8" s="52" t="s">
        <v>4414</v>
      </c>
      <c r="M8" s="32" t="s">
        <v>4415</v>
      </c>
      <c r="N8" s="32" t="s">
        <v>4416</v>
      </c>
      <c r="O8" s="32" t="s">
        <v>4417</v>
      </c>
      <c r="P8" s="32" t="s">
        <v>4418</v>
      </c>
      <c r="Q8" s="32" t="s">
        <v>4419</v>
      </c>
      <c r="R8" s="32" t="s">
        <v>4420</v>
      </c>
      <c r="S8" s="52" t="s">
        <v>4421</v>
      </c>
      <c r="T8" s="32" t="s">
        <v>4422</v>
      </c>
      <c r="U8" s="52" t="s">
        <v>4423</v>
      </c>
      <c r="V8" s="32" t="s">
        <v>4424</v>
      </c>
      <c r="W8" s="52" t="s">
        <v>4425</v>
      </c>
      <c r="X8" s="32" t="s">
        <v>4426</v>
      </c>
    </row>
    <row r="9" ht="16.5" customHeight="1">
      <c r="A9" s="2" t="s">
        <v>4277</v>
      </c>
      <c r="B9" s="8" t="s">
        <v>4427</v>
      </c>
      <c r="C9" s="8" t="s">
        <v>4428</v>
      </c>
      <c r="D9" t="s">
        <v>4429</v>
      </c>
      <c r="E9" s="13" t="s">
        <v>4430</v>
      </c>
      <c r="F9" t="s">
        <v>4431</v>
      </c>
      <c r="G9" t="s">
        <v>4432</v>
      </c>
      <c r="H9" t="s">
        <v>4433</v>
      </c>
      <c r="I9" s="4"/>
      <c r="J9" s="4"/>
      <c r="K9" s="4"/>
      <c r="L9" s="4"/>
      <c r="M9" t="s">
        <v>4434</v>
      </c>
      <c r="N9" t="s">
        <v>4435</v>
      </c>
      <c r="O9" s="52" t="s">
        <v>4436</v>
      </c>
      <c r="P9" t="s">
        <v>4437</v>
      </c>
      <c r="Q9" t="s">
        <v>4438</v>
      </c>
      <c r="R9" t="s">
        <v>4439</v>
      </c>
      <c r="S9" t="s">
        <v>4440</v>
      </c>
      <c r="T9" t="s">
        <v>4441</v>
      </c>
      <c r="U9" s="8" t="s">
        <v>4442</v>
      </c>
      <c r="V9" t="s">
        <v>4443</v>
      </c>
      <c r="W9" t="s">
        <v>4444</v>
      </c>
      <c r="X9" t="s">
        <v>4445</v>
      </c>
    </row>
    <row r="10" ht="16.5" customHeight="1">
      <c r="A10" s="2" t="s">
        <v>4278</v>
      </c>
      <c r="B10" s="8" t="s">
        <v>4446</v>
      </c>
      <c r="C10" t="s">
        <v>4447</v>
      </c>
      <c r="D10" s="8" t="s">
        <v>4448</v>
      </c>
      <c r="E10" t="s">
        <v>4449</v>
      </c>
      <c r="F10" t="s">
        <v>4450</v>
      </c>
      <c r="G10" t="s">
        <v>4451</v>
      </c>
      <c r="H10" t="s">
        <v>4452</v>
      </c>
      <c r="I10" s="4"/>
      <c r="J10" s="4"/>
      <c r="K10" s="4"/>
      <c r="L10" s="4"/>
      <c r="M10" t="s">
        <v>4453</v>
      </c>
      <c r="N10" t="s">
        <v>4454</v>
      </c>
      <c r="O10" t="s">
        <v>4455</v>
      </c>
      <c r="P10" s="8" t="s">
        <v>4456</v>
      </c>
      <c r="Q10" t="s">
        <v>4457</v>
      </c>
      <c r="R10" s="8" t="s">
        <v>4458</v>
      </c>
      <c r="S10" t="s">
        <v>4459</v>
      </c>
      <c r="T10" t="s">
        <v>4460</v>
      </c>
      <c r="U10" t="s">
        <v>4461</v>
      </c>
      <c r="V10" s="8" t="s">
        <v>4462</v>
      </c>
      <c r="W10" t="s">
        <v>4463</v>
      </c>
      <c r="X10" t="s">
        <v>4464</v>
      </c>
    </row>
    <row r="11" ht="16.5" customHeight="1">
      <c r="A11" s="2" t="s">
        <v>4279</v>
      </c>
      <c r="B11" t="s">
        <v>4465</v>
      </c>
      <c r="C11" s="8" t="s">
        <v>4466</v>
      </c>
      <c r="D11" s="8" t="s">
        <v>4467</v>
      </c>
      <c r="E11" t="s">
        <v>4468</v>
      </c>
      <c r="F11" t="s">
        <v>4469</v>
      </c>
      <c r="G11" s="32" t="s">
        <v>4470</v>
      </c>
      <c r="H11" t="s">
        <v>4471</v>
      </c>
      <c r="I11" s="4"/>
      <c r="J11" s="4"/>
      <c r="K11" s="4"/>
      <c r="L11" s="4"/>
      <c r="M11" t="s">
        <v>4472</v>
      </c>
      <c r="N11" t="s">
        <v>4473</v>
      </c>
      <c r="O11" s="8" t="s">
        <v>4474</v>
      </c>
      <c r="P11" s="8" t="s">
        <v>4475</v>
      </c>
      <c r="Q11" t="s">
        <v>4476</v>
      </c>
      <c r="R11" t="s">
        <v>4477</v>
      </c>
      <c r="S11" t="s">
        <v>4478</v>
      </c>
      <c r="T11" t="s">
        <v>4479</v>
      </c>
      <c r="U11" t="s">
        <v>4480</v>
      </c>
      <c r="V11" t="s">
        <v>4481</v>
      </c>
      <c r="W11" t="s">
        <v>4482</v>
      </c>
      <c r="X11" t="s">
        <v>4483</v>
      </c>
    </row>
    <row r="12" ht="16.5" customHeight="1">
      <c r="A12" s="2" t="s">
        <v>4280</v>
      </c>
      <c r="B12" s="8" t="s">
        <v>4484</v>
      </c>
      <c r="C12" t="s">
        <v>4485</v>
      </c>
      <c r="D12" t="s">
        <v>4486</v>
      </c>
      <c r="E12" t="s">
        <v>4487</v>
      </c>
      <c r="F12" t="s">
        <v>4488</v>
      </c>
      <c r="G12" t="s">
        <v>4489</v>
      </c>
      <c r="H12" t="s">
        <v>4490</v>
      </c>
      <c r="I12" s="4"/>
      <c r="J12" s="4"/>
      <c r="K12" s="4"/>
      <c r="L12" s="4"/>
      <c r="M12" s="8" t="s">
        <v>4491</v>
      </c>
      <c r="N12" s="8" t="s">
        <v>4492</v>
      </c>
      <c r="O12" s="8" t="s">
        <v>4493</v>
      </c>
      <c r="P12" s="8" t="s">
        <v>4494</v>
      </c>
      <c r="Q12" t="s">
        <v>4495</v>
      </c>
      <c r="R12" t="s">
        <v>4496</v>
      </c>
      <c r="S12" s="8" t="s">
        <v>4497</v>
      </c>
      <c r="T12" t="s">
        <v>4498</v>
      </c>
      <c r="U12" t="s">
        <v>4499</v>
      </c>
      <c r="V12" t="s">
        <v>4500</v>
      </c>
      <c r="W12" t="s">
        <v>4501</v>
      </c>
      <c r="X12" t="s">
        <v>4502</v>
      </c>
    </row>
    <row r="13" ht="16.5" customHeight="1">
      <c r="A13" s="2" t="s">
        <v>4281</v>
      </c>
      <c r="B13" t="s">
        <v>4503</v>
      </c>
      <c r="C13" s="8" t="s">
        <v>4504</v>
      </c>
      <c r="D13" s="8" t="s">
        <v>4505</v>
      </c>
      <c r="E13" s="8" t="s">
        <v>4506</v>
      </c>
      <c r="F13" s="32" t="s">
        <v>4507</v>
      </c>
      <c r="G13" s="8" t="s">
        <v>4508</v>
      </c>
      <c r="H13" s="8" t="s">
        <v>4509</v>
      </c>
      <c r="I13" t="s">
        <v>4510</v>
      </c>
      <c r="J13" t="s">
        <v>4511</v>
      </c>
      <c r="K13" t="s">
        <v>4512</v>
      </c>
      <c r="L13" s="8" t="s">
        <v>4513</v>
      </c>
      <c r="M13" s="4"/>
      <c r="N13" s="4"/>
      <c r="O13" s="4"/>
      <c r="P13" s="4"/>
      <c r="Q13" t="s">
        <v>4514</v>
      </c>
      <c r="R13" t="s">
        <v>4515</v>
      </c>
      <c r="S13" t="s">
        <v>4516</v>
      </c>
      <c r="T13" t="s">
        <v>4517</v>
      </c>
      <c r="U13" t="s">
        <v>4518</v>
      </c>
      <c r="V13" t="s">
        <v>4519</v>
      </c>
      <c r="W13" s="8" t="s">
        <v>4520</v>
      </c>
      <c r="X13" s="8" t="s">
        <v>4521</v>
      </c>
    </row>
    <row r="14" ht="16.5" customHeight="1">
      <c r="A14" s="2" t="s">
        <v>4282</v>
      </c>
      <c r="B14" t="s">
        <v>4522</v>
      </c>
      <c r="C14" t="s">
        <v>4523</v>
      </c>
      <c r="D14" t="s">
        <v>4524</v>
      </c>
      <c r="E14" t="s">
        <v>4525</v>
      </c>
      <c r="F14" t="s">
        <v>4526</v>
      </c>
      <c r="G14" t="s">
        <v>4527</v>
      </c>
      <c r="H14" s="32" t="s">
        <v>4528</v>
      </c>
      <c r="I14" t="s">
        <v>4529</v>
      </c>
      <c r="J14" t="s">
        <v>4530</v>
      </c>
      <c r="K14" t="s">
        <v>4531</v>
      </c>
      <c r="L14" s="8" t="s">
        <v>4532</v>
      </c>
      <c r="M14" s="4"/>
      <c r="N14" s="4"/>
      <c r="O14" s="4"/>
      <c r="P14" s="4"/>
      <c r="Q14" t="s">
        <v>4533</v>
      </c>
      <c r="R14" t="s">
        <v>4534</v>
      </c>
      <c r="S14" t="s">
        <v>4535</v>
      </c>
      <c r="T14" s="8" t="s">
        <v>4536</v>
      </c>
      <c r="U14" t="s">
        <v>4537</v>
      </c>
      <c r="V14" t="s">
        <v>4538</v>
      </c>
      <c r="W14" s="8" t="s">
        <v>4539</v>
      </c>
      <c r="X14" s="8" t="s">
        <v>4540</v>
      </c>
    </row>
    <row r="15" ht="16.5" customHeight="1">
      <c r="A15" s="2" t="s">
        <v>4283</v>
      </c>
      <c r="B15" s="66" t="s">
        <v>4541</v>
      </c>
      <c r="C15" s="8" t="s">
        <v>4542</v>
      </c>
      <c r="D15" s="8" t="s">
        <v>4505</v>
      </c>
      <c r="E15" s="13" t="s">
        <v>4543</v>
      </c>
      <c r="F15" s="13" t="s">
        <v>4544</v>
      </c>
      <c r="G15" s="8" t="s">
        <v>4545</v>
      </c>
      <c r="H15" s="32" t="s">
        <v>4546</v>
      </c>
      <c r="I15" t="s">
        <v>4547</v>
      </c>
      <c r="J15" t="s">
        <v>4548</v>
      </c>
      <c r="K15" s="8" t="s">
        <v>4549</v>
      </c>
      <c r="L15" s="8" t="s">
        <v>4550</v>
      </c>
      <c r="M15" s="4"/>
      <c r="N15" s="4"/>
      <c r="O15" s="4"/>
      <c r="P15" s="4"/>
      <c r="Q15" s="8" t="s">
        <v>4551</v>
      </c>
      <c r="R15" t="s">
        <v>4552</v>
      </c>
      <c r="S15" s="67" t="s">
        <v>4553</v>
      </c>
      <c r="T15" t="s">
        <v>4554</v>
      </c>
      <c r="U15" s="8" t="s">
        <v>4555</v>
      </c>
      <c r="V15" t="s">
        <v>4556</v>
      </c>
      <c r="W15" t="s">
        <v>4557</v>
      </c>
      <c r="X15" s="8" t="s">
        <v>4558</v>
      </c>
    </row>
    <row r="16" ht="16.5" customHeight="1">
      <c r="A16" s="2" t="s">
        <v>4284</v>
      </c>
      <c r="B16" t="s">
        <v>4559</v>
      </c>
      <c r="C16" t="s">
        <v>4560</v>
      </c>
      <c r="D16" t="s">
        <v>4561</v>
      </c>
      <c r="E16" t="s">
        <v>4562</v>
      </c>
      <c r="F16" s="8" t="s">
        <v>4563</v>
      </c>
      <c r="G16" s="68" t="s">
        <v>4564</v>
      </c>
      <c r="H16" s="8" t="s">
        <v>4565</v>
      </c>
      <c r="I16" t="s">
        <v>4566</v>
      </c>
      <c r="J16" s="8" t="s">
        <v>4567</v>
      </c>
      <c r="K16" s="8" t="s">
        <v>4568</v>
      </c>
      <c r="L16" s="8" t="s">
        <v>4569</v>
      </c>
      <c r="M16" s="4"/>
      <c r="N16" s="4"/>
      <c r="O16" s="4"/>
      <c r="P16" s="4"/>
      <c r="Q16" t="s">
        <v>4570</v>
      </c>
      <c r="R16" t="s">
        <v>4571</v>
      </c>
      <c r="S16" t="s">
        <v>4572</v>
      </c>
      <c r="T16" s="8" t="s">
        <v>4573</v>
      </c>
      <c r="U16" t="s">
        <v>4574</v>
      </c>
      <c r="V16" s="8" t="s">
        <v>4575</v>
      </c>
      <c r="W16" t="s">
        <v>4576</v>
      </c>
      <c r="X16" s="8" t="s">
        <v>4577</v>
      </c>
    </row>
    <row r="17" ht="16.5" customHeight="1">
      <c r="A17" s="2" t="s">
        <v>4285</v>
      </c>
      <c r="B17" s="8" t="s">
        <v>4578</v>
      </c>
      <c r="C17" t="s">
        <v>4579</v>
      </c>
      <c r="D17" s="8" t="s">
        <v>4580</v>
      </c>
      <c r="E17" t="s">
        <v>4581</v>
      </c>
      <c r="F17" t="s">
        <v>4582</v>
      </c>
      <c r="G17" s="8" t="s">
        <v>4583</v>
      </c>
      <c r="H17" s="32" t="s">
        <v>4584</v>
      </c>
      <c r="I17" t="s">
        <v>4585</v>
      </c>
      <c r="J17" t="s">
        <v>4586</v>
      </c>
      <c r="K17" t="s">
        <v>4587</v>
      </c>
      <c r="L17" t="s">
        <v>4588</v>
      </c>
      <c r="M17" t="s">
        <v>4589</v>
      </c>
      <c r="N17" t="s">
        <v>4590</v>
      </c>
      <c r="O17" s="8" t="s">
        <v>4591</v>
      </c>
      <c r="P17" t="s">
        <v>4592</v>
      </c>
      <c r="Q17" s="4"/>
      <c r="R17" s="4"/>
      <c r="S17" s="4"/>
      <c r="T17" s="4"/>
      <c r="U17" t="s">
        <v>4593</v>
      </c>
      <c r="V17" t="s">
        <v>4594</v>
      </c>
      <c r="W17" s="8" t="s">
        <v>4595</v>
      </c>
      <c r="X17" t="s">
        <v>4596</v>
      </c>
    </row>
    <row r="18" ht="16.5" customHeight="1">
      <c r="A18" s="2" t="s">
        <v>4286</v>
      </c>
      <c r="B18" t="s">
        <v>4597</v>
      </c>
      <c r="C18" t="s">
        <v>4598</v>
      </c>
      <c r="D18" t="s">
        <v>4599</v>
      </c>
      <c r="E18" t="s">
        <v>4600</v>
      </c>
      <c r="F18" s="8" t="s">
        <v>4601</v>
      </c>
      <c r="G18" t="s">
        <v>4602</v>
      </c>
      <c r="H18" s="8" t="s">
        <v>4603</v>
      </c>
      <c r="I18" t="s">
        <v>4604</v>
      </c>
      <c r="J18" s="8" t="s">
        <v>4605</v>
      </c>
      <c r="K18" t="s">
        <v>4606</v>
      </c>
      <c r="L18" t="s">
        <v>4607</v>
      </c>
      <c r="M18" t="s">
        <v>4608</v>
      </c>
      <c r="N18" t="s">
        <v>4609</v>
      </c>
      <c r="O18" t="s">
        <v>4610</v>
      </c>
      <c r="P18" t="s">
        <v>4611</v>
      </c>
      <c r="Q18" s="4"/>
      <c r="R18" s="4"/>
      <c r="S18" s="4"/>
      <c r="T18" s="4"/>
      <c r="U18" t="s">
        <v>4612</v>
      </c>
      <c r="V18" s="8" t="s">
        <v>4613</v>
      </c>
      <c r="W18" t="s">
        <v>4614</v>
      </c>
      <c r="X18" t="s">
        <v>4615</v>
      </c>
    </row>
    <row r="19" ht="16.5" customHeight="1">
      <c r="A19" s="2" t="s">
        <v>4287</v>
      </c>
      <c r="B19" s="8" t="s">
        <v>4616</v>
      </c>
      <c r="C19" t="s">
        <v>4617</v>
      </c>
      <c r="D19" t="s">
        <v>4618</v>
      </c>
      <c r="E19" t="s">
        <v>4619</v>
      </c>
      <c r="F19" t="s">
        <v>4620</v>
      </c>
      <c r="G19" t="s">
        <v>4621</v>
      </c>
      <c r="H19" t="s">
        <v>4622</v>
      </c>
      <c r="I19" t="s">
        <v>4623</v>
      </c>
      <c r="J19" t="s">
        <v>4624</v>
      </c>
      <c r="K19" t="s">
        <v>4625</v>
      </c>
      <c r="L19" s="8" t="s">
        <v>4626</v>
      </c>
      <c r="M19" t="s">
        <v>4627</v>
      </c>
      <c r="N19" t="s">
        <v>4628</v>
      </c>
      <c r="O19" s="13" t="s">
        <v>4629</v>
      </c>
      <c r="P19" t="s">
        <v>4630</v>
      </c>
      <c r="Q19" s="4"/>
      <c r="R19" s="4"/>
      <c r="S19" s="4"/>
      <c r="T19" s="4"/>
      <c r="U19" s="8" t="s">
        <v>4631</v>
      </c>
      <c r="V19" t="s">
        <v>4632</v>
      </c>
      <c r="W19" t="s">
        <v>4633</v>
      </c>
      <c r="X19" t="s">
        <v>4634</v>
      </c>
    </row>
    <row r="20" ht="16.5" customHeight="1">
      <c r="A20" s="2" t="s">
        <v>4288</v>
      </c>
      <c r="B20" t="s">
        <v>4635</v>
      </c>
      <c r="C20" t="s">
        <v>4636</v>
      </c>
      <c r="D20" t="s">
        <v>4637</v>
      </c>
      <c r="E20" s="13" t="s">
        <v>4638</v>
      </c>
      <c r="F20" s="8" t="s">
        <v>4639</v>
      </c>
      <c r="G20" t="s">
        <v>4640</v>
      </c>
      <c r="H20" s="8" t="s">
        <v>4641</v>
      </c>
      <c r="I20" t="s">
        <v>4642</v>
      </c>
      <c r="J20" t="s">
        <v>4643</v>
      </c>
      <c r="K20" t="s">
        <v>4644</v>
      </c>
      <c r="L20" t="s">
        <v>4645</v>
      </c>
      <c r="M20" t="s">
        <v>4646</v>
      </c>
      <c r="N20" s="8" t="s">
        <v>4647</v>
      </c>
      <c r="O20" t="s">
        <v>4648</v>
      </c>
      <c r="P20" s="8" t="s">
        <v>4649</v>
      </c>
      <c r="Q20" s="4"/>
      <c r="R20" s="4"/>
      <c r="S20" s="4"/>
      <c r="T20" s="4"/>
      <c r="U20" t="s">
        <v>4650</v>
      </c>
      <c r="V20" t="s">
        <v>4651</v>
      </c>
      <c r="W20" t="s">
        <v>4652</v>
      </c>
      <c r="X20" t="s">
        <v>4653</v>
      </c>
    </row>
    <row r="21" ht="16.5" customHeight="1">
      <c r="A21" s="2" t="s">
        <v>4289</v>
      </c>
      <c r="B21" t="s">
        <v>4654</v>
      </c>
      <c r="C21" t="s">
        <v>4655</v>
      </c>
      <c r="D21" s="8" t="s">
        <v>4656</v>
      </c>
      <c r="E21" s="32" t="s">
        <v>4657</v>
      </c>
      <c r="F21" s="13" t="s">
        <v>4658</v>
      </c>
      <c r="G21" s="13" t="s">
        <v>4659</v>
      </c>
      <c r="H21" t="s">
        <v>4660</v>
      </c>
      <c r="I21" s="8" t="s">
        <v>4661</v>
      </c>
      <c r="J21" t="s">
        <v>4662</v>
      </c>
      <c r="K21" t="s">
        <v>4663</v>
      </c>
      <c r="L21" t="s">
        <v>4664</v>
      </c>
      <c r="M21" t="s">
        <v>4665</v>
      </c>
      <c r="N21" t="s">
        <v>4666</v>
      </c>
      <c r="O21" s="8" t="s">
        <v>4667</v>
      </c>
      <c r="P21" t="s">
        <v>4668</v>
      </c>
      <c r="Q21" t="s">
        <v>4669</v>
      </c>
      <c r="R21" t="s">
        <v>4670</v>
      </c>
      <c r="S21" s="8" t="s">
        <v>4671</v>
      </c>
      <c r="T21" t="s">
        <v>4672</v>
      </c>
      <c r="U21" s="4"/>
      <c r="V21" s="4"/>
      <c r="W21" s="4"/>
      <c r="X21" s="4"/>
    </row>
    <row r="22" ht="16.5" customHeight="1">
      <c r="A22" s="2" t="s">
        <v>4290</v>
      </c>
      <c r="B22" s="8" t="s">
        <v>4310</v>
      </c>
      <c r="C22" s="8" t="s">
        <v>4673</v>
      </c>
      <c r="D22" s="8" t="s">
        <v>4674</v>
      </c>
      <c r="E22" t="s">
        <v>4675</v>
      </c>
      <c r="F22" s="69" t="s">
        <v>4676</v>
      </c>
      <c r="G22" t="s">
        <v>4677</v>
      </c>
      <c r="H22" s="32" t="s">
        <v>4678</v>
      </c>
      <c r="I22" t="s">
        <v>4679</v>
      </c>
      <c r="J22" s="8" t="s">
        <v>4680</v>
      </c>
      <c r="K22" t="s">
        <v>4681</v>
      </c>
      <c r="L22" t="s">
        <v>4682</v>
      </c>
      <c r="M22" t="s">
        <v>4683</v>
      </c>
      <c r="N22" t="s">
        <v>4684</v>
      </c>
      <c r="O22" t="s">
        <v>4685</v>
      </c>
      <c r="P22" s="8" t="s">
        <v>4686</v>
      </c>
      <c r="Q22" t="s">
        <v>4687</v>
      </c>
      <c r="R22" s="8" t="s">
        <v>4688</v>
      </c>
      <c r="S22" t="s">
        <v>4689</v>
      </c>
      <c r="T22" t="s">
        <v>4690</v>
      </c>
      <c r="U22" s="4"/>
      <c r="V22" s="4"/>
      <c r="W22" s="4"/>
      <c r="X22" s="4"/>
    </row>
    <row r="23" ht="16.5" customHeight="1">
      <c r="A23" s="2" t="s">
        <v>4291</v>
      </c>
      <c r="B23" s="32" t="s">
        <v>4691</v>
      </c>
      <c r="C23" s="8" t="s">
        <v>4692</v>
      </c>
      <c r="D23" s="8" t="s">
        <v>4693</v>
      </c>
      <c r="E23" t="s">
        <v>4694</v>
      </c>
      <c r="F23" t="s">
        <v>4695</v>
      </c>
      <c r="G23" s="32" t="s">
        <v>4696</v>
      </c>
      <c r="H23" t="s">
        <v>4697</v>
      </c>
      <c r="I23" t="s">
        <v>4698</v>
      </c>
      <c r="J23" t="s">
        <v>4699</v>
      </c>
      <c r="K23" t="s">
        <v>4700</v>
      </c>
      <c r="L23" t="s">
        <v>4701</v>
      </c>
      <c r="M23" s="8" t="s">
        <v>4702</v>
      </c>
      <c r="N23" s="8" t="s">
        <v>4703</v>
      </c>
      <c r="O23" t="s">
        <v>4704</v>
      </c>
      <c r="P23" t="s">
        <v>4705</v>
      </c>
      <c r="Q23" s="32" t="s">
        <v>4706</v>
      </c>
      <c r="R23" t="s">
        <v>4707</v>
      </c>
      <c r="S23" t="s">
        <v>4708</v>
      </c>
      <c r="T23" t="s">
        <v>4709</v>
      </c>
      <c r="U23" s="4"/>
      <c r="V23" s="4"/>
      <c r="W23" s="4"/>
      <c r="X23" s="4"/>
    </row>
    <row r="24" ht="16.5" customHeight="1">
      <c r="A24" s="2" t="s">
        <v>4292</v>
      </c>
      <c r="B24" s="8" t="s">
        <v>4710</v>
      </c>
      <c r="C24" s="8" t="s">
        <v>4711</v>
      </c>
      <c r="D24" t="s">
        <v>4712</v>
      </c>
      <c r="E24" t="s">
        <v>4713</v>
      </c>
      <c r="F24" s="8" t="s">
        <v>4714</v>
      </c>
      <c r="G24" t="s">
        <v>4715</v>
      </c>
      <c r="H24" s="8" t="s">
        <v>4716</v>
      </c>
      <c r="I24" t="s">
        <v>4717</v>
      </c>
      <c r="J24" t="s">
        <v>4718</v>
      </c>
      <c r="K24" t="s">
        <v>4719</v>
      </c>
      <c r="L24" t="s">
        <v>4720</v>
      </c>
      <c r="M24" s="8" t="s">
        <v>4721</v>
      </c>
      <c r="N24" s="13" t="s">
        <v>4722</v>
      </c>
      <c r="O24" s="8" t="s">
        <v>4723</v>
      </c>
      <c r="P24" s="8" t="s">
        <v>4724</v>
      </c>
      <c r="Q24" t="s">
        <v>4725</v>
      </c>
      <c r="R24" t="s">
        <v>4726</v>
      </c>
      <c r="S24" t="s">
        <v>4727</v>
      </c>
      <c r="T24" t="s">
        <v>4728</v>
      </c>
      <c r="U24" s="4"/>
      <c r="V24" s="4"/>
      <c r="W24" s="4"/>
      <c r="X24" s="4"/>
    </row>
    <row r="25" ht="16.5" customHeight="1">
      <c r="A25" s="1"/>
    </row>
    <row r="26" ht="16.5" customHeight="1">
      <c r="A26" s="1"/>
      <c r="B26" t="s">
        <v>351</v>
      </c>
      <c r="D26" s="32" t="s">
        <v>4729</v>
      </c>
      <c r="E26" s="32"/>
      <c r="F26" s="32"/>
      <c r="G26" s="32"/>
      <c r="H26" s="32"/>
      <c r="I26" s="32"/>
    </row>
    <row r="27" ht="16.5" customHeight="1">
      <c r="A27" s="1"/>
      <c r="B27">
        <f>529-COUNTBLANK(B2:X24)</f>
        <v>440</v>
      </c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36" t="s">
        <v>0</v>
      </c>
      <c r="B1" s="37" t="s">
        <v>1690</v>
      </c>
      <c r="C1" s="37" t="s">
        <v>4730</v>
      </c>
      <c r="D1" s="37" t="s">
        <v>1691</v>
      </c>
      <c r="E1" s="37" t="s">
        <v>4731</v>
      </c>
      <c r="F1" s="37" t="s">
        <v>4732</v>
      </c>
      <c r="G1" s="37" t="s">
        <v>4733</v>
      </c>
      <c r="H1" s="37" t="s">
        <v>1694</v>
      </c>
      <c r="I1" s="37" t="s">
        <v>4734</v>
      </c>
      <c r="J1" s="37" t="s">
        <v>1696</v>
      </c>
      <c r="K1" s="37" t="s">
        <v>4735</v>
      </c>
      <c r="L1" s="37" t="s">
        <v>4736</v>
      </c>
      <c r="M1" s="37" t="s">
        <v>1699</v>
      </c>
      <c r="N1" s="37" t="s">
        <v>4737</v>
      </c>
      <c r="O1" s="37" t="s">
        <v>1701</v>
      </c>
      <c r="P1" s="37" t="s">
        <v>4738</v>
      </c>
      <c r="Q1" s="37" t="s">
        <v>1702</v>
      </c>
      <c r="R1" s="37" t="s">
        <v>1704</v>
      </c>
      <c r="S1" s="37" t="s">
        <v>4739</v>
      </c>
      <c r="T1" s="37" t="s">
        <v>4740</v>
      </c>
      <c r="U1" s="37" t="s">
        <v>1707</v>
      </c>
      <c r="V1" s="37" t="s">
        <v>4741</v>
      </c>
      <c r="W1" s="1"/>
      <c r="X1" s="1"/>
      <c r="Y1" s="1"/>
      <c r="Z1" s="1"/>
    </row>
    <row r="2" ht="16.5" customHeight="1">
      <c r="A2" s="37" t="s">
        <v>1690</v>
      </c>
      <c r="B2" s="70"/>
      <c r="C2" s="16" t="s">
        <v>4742</v>
      </c>
      <c r="D2" s="16" t="s">
        <v>4743</v>
      </c>
      <c r="E2" s="16" t="s">
        <v>4744</v>
      </c>
      <c r="F2" s="16" t="s">
        <v>4745</v>
      </c>
      <c r="G2" s="16" t="s">
        <v>2414</v>
      </c>
      <c r="H2" s="30" t="s">
        <v>4746</v>
      </c>
      <c r="I2" s="30" t="s">
        <v>4747</v>
      </c>
      <c r="J2" s="16" t="s">
        <v>2450</v>
      </c>
      <c r="K2" s="30" t="s">
        <v>2462</v>
      </c>
      <c r="L2" s="13" t="s">
        <v>4748</v>
      </c>
      <c r="M2" s="71"/>
      <c r="N2" s="16" t="s">
        <v>2486</v>
      </c>
      <c r="O2" s="16" t="s">
        <v>2498</v>
      </c>
      <c r="P2" s="16" t="s">
        <v>2079</v>
      </c>
      <c r="Q2" s="72" t="s">
        <v>2510</v>
      </c>
      <c r="R2" s="72" t="s">
        <v>2306</v>
      </c>
      <c r="S2" s="16" t="s">
        <v>2534</v>
      </c>
      <c r="T2" s="16" t="s">
        <v>2546</v>
      </c>
      <c r="U2" s="16" t="s">
        <v>2558</v>
      </c>
      <c r="V2" s="71"/>
    </row>
    <row r="3" ht="16.5" customHeight="1">
      <c r="A3" s="37" t="s">
        <v>4730</v>
      </c>
      <c r="B3" s="16" t="s">
        <v>4749</v>
      </c>
      <c r="C3" s="71"/>
      <c r="D3" s="72" t="s">
        <v>4750</v>
      </c>
      <c r="E3" s="16" t="s">
        <v>4751</v>
      </c>
      <c r="F3" s="71"/>
      <c r="G3" s="30" t="s">
        <v>4752</v>
      </c>
      <c r="H3" s="30" t="s">
        <v>4753</v>
      </c>
      <c r="I3" s="16" t="s">
        <v>1818</v>
      </c>
      <c r="J3" s="16" t="s">
        <v>4754</v>
      </c>
      <c r="K3" s="16" t="s">
        <v>4755</v>
      </c>
      <c r="L3" s="30" t="s">
        <v>4756</v>
      </c>
      <c r="M3" s="16" t="s">
        <v>4757</v>
      </c>
      <c r="N3" s="16" t="s">
        <v>4758</v>
      </c>
      <c r="O3" s="16" t="s">
        <v>4759</v>
      </c>
      <c r="P3" s="71"/>
      <c r="Q3" s="16" t="s">
        <v>1944</v>
      </c>
      <c r="R3" s="30" t="s">
        <v>1980</v>
      </c>
      <c r="S3" s="16" t="s">
        <v>1998</v>
      </c>
      <c r="T3" s="16" t="s">
        <v>4760</v>
      </c>
      <c r="U3" s="16" t="s">
        <v>4761</v>
      </c>
      <c r="V3" s="30" t="s">
        <v>4762</v>
      </c>
    </row>
    <row r="4" ht="16.5" customHeight="1">
      <c r="A4" s="37" t="s">
        <v>1691</v>
      </c>
      <c r="B4" s="16" t="s">
        <v>4763</v>
      </c>
      <c r="C4" s="16" t="s">
        <v>4764</v>
      </c>
      <c r="D4" s="71"/>
      <c r="E4" s="71"/>
      <c r="F4" s="16" t="s">
        <v>1964</v>
      </c>
      <c r="G4" s="16" t="s">
        <v>4765</v>
      </c>
      <c r="H4" s="16" t="s">
        <v>4766</v>
      </c>
      <c r="I4" s="16" t="s">
        <v>4767</v>
      </c>
      <c r="J4" s="16" t="s">
        <v>4768</v>
      </c>
      <c r="K4" s="16" t="s">
        <v>4769</v>
      </c>
      <c r="L4" s="16" t="s">
        <v>4770</v>
      </c>
      <c r="M4" s="16" t="s">
        <v>2232</v>
      </c>
      <c r="N4" s="16" t="s">
        <v>2247</v>
      </c>
      <c r="O4" s="16" t="s">
        <v>2262</v>
      </c>
      <c r="P4" s="30" t="s">
        <v>2083</v>
      </c>
      <c r="Q4" s="16" t="s">
        <v>2277</v>
      </c>
      <c r="R4" s="71"/>
      <c r="S4" s="16" t="s">
        <v>2307</v>
      </c>
      <c r="T4" s="16" t="s">
        <v>4771</v>
      </c>
      <c r="U4" s="16" t="s">
        <v>4772</v>
      </c>
      <c r="V4" s="16" t="s">
        <v>2352</v>
      </c>
    </row>
    <row r="5" ht="16.5" customHeight="1">
      <c r="A5" s="37" t="s">
        <v>4731</v>
      </c>
      <c r="B5" s="16" t="s">
        <v>4773</v>
      </c>
      <c r="C5" s="16" t="s">
        <v>4774</v>
      </c>
      <c r="D5" s="71"/>
      <c r="E5" s="71"/>
      <c r="F5" s="16" t="s">
        <v>1975</v>
      </c>
      <c r="G5" s="16" t="s">
        <v>4775</v>
      </c>
      <c r="H5" s="16" t="s">
        <v>2321</v>
      </c>
      <c r="I5" s="16" t="s">
        <v>4776</v>
      </c>
      <c r="J5" s="16" t="s">
        <v>2276</v>
      </c>
      <c r="K5" s="73" t="s">
        <v>4777</v>
      </c>
      <c r="L5" s="30" t="s">
        <v>2291</v>
      </c>
      <c r="M5" s="16" t="s">
        <v>2366</v>
      </c>
      <c r="N5" s="30" t="s">
        <v>2372</v>
      </c>
      <c r="O5" s="30" t="s">
        <v>4778</v>
      </c>
      <c r="P5" s="13" t="s">
        <v>2071</v>
      </c>
      <c r="Q5" s="73" t="s">
        <v>4779</v>
      </c>
      <c r="R5" s="71"/>
      <c r="S5" s="30" t="s">
        <v>2186</v>
      </c>
      <c r="T5" s="30" t="s">
        <v>4780</v>
      </c>
      <c r="U5" s="16" t="s">
        <v>2261</v>
      </c>
      <c r="V5" s="16" t="s">
        <v>4781</v>
      </c>
    </row>
    <row r="6" ht="16.5" customHeight="1">
      <c r="A6" s="37" t="s">
        <v>4732</v>
      </c>
      <c r="B6" s="16" t="s">
        <v>4782</v>
      </c>
      <c r="C6" s="71"/>
      <c r="D6" s="16" t="s">
        <v>1776</v>
      </c>
      <c r="E6" s="16" t="s">
        <v>1992</v>
      </c>
      <c r="F6" s="71"/>
      <c r="G6" s="16" t="s">
        <v>1937</v>
      </c>
      <c r="H6" s="16" t="s">
        <v>4783</v>
      </c>
      <c r="I6" s="16" t="s">
        <v>2010</v>
      </c>
      <c r="J6" s="16" t="s">
        <v>4784</v>
      </c>
      <c r="K6" s="16" t="s">
        <v>4785</v>
      </c>
      <c r="L6" s="16" t="s">
        <v>4786</v>
      </c>
      <c r="M6" s="16" t="s">
        <v>1740</v>
      </c>
      <c r="N6" s="16" t="s">
        <v>2046</v>
      </c>
      <c r="O6" s="16" t="s">
        <v>4787</v>
      </c>
      <c r="P6" s="71"/>
      <c r="Q6" s="16" t="s">
        <v>1884</v>
      </c>
      <c r="R6" s="16" t="s">
        <v>1758</v>
      </c>
      <c r="S6" s="16" t="s">
        <v>1812</v>
      </c>
      <c r="T6" s="16" t="s">
        <v>1956</v>
      </c>
      <c r="U6" s="16" t="s">
        <v>1866</v>
      </c>
      <c r="V6" s="30" t="s">
        <v>4788</v>
      </c>
    </row>
    <row r="7" ht="16.5" customHeight="1">
      <c r="A7" s="37" t="s">
        <v>4733</v>
      </c>
      <c r="B7" s="16" t="s">
        <v>2401</v>
      </c>
      <c r="C7" s="13" t="s">
        <v>4789</v>
      </c>
      <c r="D7" s="16" t="s">
        <v>4790</v>
      </c>
      <c r="E7" s="16" t="s">
        <v>4791</v>
      </c>
      <c r="F7" s="16" t="s">
        <v>1973</v>
      </c>
      <c r="G7" s="71"/>
      <c r="H7" s="16" t="s">
        <v>4792</v>
      </c>
      <c r="I7" s="16" t="s">
        <v>4793</v>
      </c>
      <c r="J7" s="71"/>
      <c r="K7" s="30" t="s">
        <v>4794</v>
      </c>
      <c r="L7" s="16" t="s">
        <v>4795</v>
      </c>
      <c r="M7" s="16" t="s">
        <v>4796</v>
      </c>
      <c r="N7" s="16" t="s">
        <v>4797</v>
      </c>
      <c r="O7" s="71"/>
      <c r="P7" s="16" t="s">
        <v>4798</v>
      </c>
      <c r="Q7" s="16" t="s">
        <v>2602</v>
      </c>
      <c r="R7" s="16" t="s">
        <v>4799</v>
      </c>
      <c r="S7" s="30" t="s">
        <v>2603</v>
      </c>
      <c r="T7" s="16" t="s">
        <v>4800</v>
      </c>
      <c r="U7" s="16" t="s">
        <v>2605</v>
      </c>
      <c r="V7" s="16" t="s">
        <v>2573</v>
      </c>
    </row>
    <row r="8" ht="16.5" customHeight="1">
      <c r="A8" s="37" t="s">
        <v>1694</v>
      </c>
      <c r="B8" s="13" t="s">
        <v>4801</v>
      </c>
      <c r="C8" s="16" t="s">
        <v>4802</v>
      </c>
      <c r="D8" s="13" t="s">
        <v>4803</v>
      </c>
      <c r="E8" s="16" t="s">
        <v>2378</v>
      </c>
      <c r="F8" s="16" t="s">
        <v>4804</v>
      </c>
      <c r="G8" s="16" t="s">
        <v>4805</v>
      </c>
      <c r="H8" s="71"/>
      <c r="I8" s="71"/>
      <c r="J8" s="72" t="s">
        <v>2608</v>
      </c>
      <c r="K8" s="30" t="s">
        <v>2609</v>
      </c>
      <c r="L8" s="16" t="s">
        <v>4806</v>
      </c>
      <c r="M8" s="30" t="s">
        <v>4807</v>
      </c>
      <c r="N8" s="16" t="s">
        <v>2611</v>
      </c>
      <c r="O8" s="16" t="s">
        <v>2612</v>
      </c>
      <c r="P8" s="16" t="s">
        <v>4808</v>
      </c>
      <c r="Q8" s="16" t="s">
        <v>4809</v>
      </c>
      <c r="R8" s="16" t="s">
        <v>4810</v>
      </c>
      <c r="S8" s="71"/>
      <c r="T8" s="16" t="s">
        <v>2614</v>
      </c>
      <c r="U8" s="16" t="s">
        <v>2615</v>
      </c>
      <c r="V8" s="16" t="s">
        <v>4811</v>
      </c>
    </row>
    <row r="9" ht="16.5" customHeight="1">
      <c r="A9" s="37" t="s">
        <v>4734</v>
      </c>
      <c r="B9" s="13" t="s">
        <v>4812</v>
      </c>
      <c r="C9" s="16" t="s">
        <v>1715</v>
      </c>
      <c r="D9" s="16" t="s">
        <v>4813</v>
      </c>
      <c r="E9" s="16" t="s">
        <v>4814</v>
      </c>
      <c r="F9" s="16" t="s">
        <v>1976</v>
      </c>
      <c r="G9" s="16" t="s">
        <v>4815</v>
      </c>
      <c r="H9" s="71"/>
      <c r="I9" s="71"/>
      <c r="J9" s="16" t="s">
        <v>2617</v>
      </c>
      <c r="K9" s="30" t="s">
        <v>4816</v>
      </c>
      <c r="L9" s="16" t="s">
        <v>2619</v>
      </c>
      <c r="M9" s="16" t="s">
        <v>4817</v>
      </c>
      <c r="N9" s="16" t="s">
        <v>2620</v>
      </c>
      <c r="O9" s="16" t="s">
        <v>4818</v>
      </c>
      <c r="P9" s="16" t="s">
        <v>2074</v>
      </c>
      <c r="Q9" s="16" t="s">
        <v>2622</v>
      </c>
      <c r="R9" s="16" t="s">
        <v>2303</v>
      </c>
      <c r="S9" s="71"/>
      <c r="T9" s="16" t="s">
        <v>4819</v>
      </c>
      <c r="U9" s="16" t="s">
        <v>4820</v>
      </c>
      <c r="V9" s="16" t="s">
        <v>4821</v>
      </c>
    </row>
    <row r="10" ht="16.5" customHeight="1">
      <c r="A10" s="37" t="s">
        <v>1696</v>
      </c>
      <c r="B10" s="16" t="s">
        <v>2404</v>
      </c>
      <c r="C10" s="16" t="s">
        <v>4822</v>
      </c>
      <c r="D10" s="16" t="s">
        <v>4823</v>
      </c>
      <c r="E10" s="16" t="s">
        <v>2376</v>
      </c>
      <c r="F10" s="16" t="s">
        <v>4824</v>
      </c>
      <c r="G10" s="71"/>
      <c r="H10" s="16" t="s">
        <v>2625</v>
      </c>
      <c r="I10" s="16" t="s">
        <v>2626</v>
      </c>
      <c r="J10" s="71"/>
      <c r="K10" s="16" t="s">
        <v>2627</v>
      </c>
      <c r="L10" s="16" t="s">
        <v>4825</v>
      </c>
      <c r="M10" s="30" t="s">
        <v>2522</v>
      </c>
      <c r="N10" s="30" t="s">
        <v>4826</v>
      </c>
      <c r="O10" s="71"/>
      <c r="P10" s="16" t="s">
        <v>2081</v>
      </c>
      <c r="Q10" s="16" t="s">
        <v>2630</v>
      </c>
      <c r="R10" s="16" t="s">
        <v>4827</v>
      </c>
      <c r="S10" s="13" t="s">
        <v>4828</v>
      </c>
      <c r="T10" s="16" t="s">
        <v>4829</v>
      </c>
      <c r="U10" s="16" t="s">
        <v>2633</v>
      </c>
      <c r="V10" s="16" t="s">
        <v>4830</v>
      </c>
    </row>
    <row r="11" ht="16.5" customHeight="1">
      <c r="A11" s="37" t="s">
        <v>4735</v>
      </c>
      <c r="B11" s="13" t="s">
        <v>2405</v>
      </c>
      <c r="C11" s="16" t="s">
        <v>1717</v>
      </c>
      <c r="D11" s="16" t="s">
        <v>4831</v>
      </c>
      <c r="E11" s="16" t="s">
        <v>4832</v>
      </c>
      <c r="F11" s="16" t="s">
        <v>4833</v>
      </c>
      <c r="G11" s="13" t="s">
        <v>4834</v>
      </c>
      <c r="H11" s="13" t="s">
        <v>2635</v>
      </c>
      <c r="I11" s="30" t="s">
        <v>4835</v>
      </c>
      <c r="J11" s="16" t="s">
        <v>2637</v>
      </c>
      <c r="K11" s="71"/>
      <c r="L11" s="16" t="s">
        <v>4836</v>
      </c>
      <c r="M11" s="13" t="s">
        <v>2528</v>
      </c>
      <c r="N11" s="71"/>
      <c r="O11" s="16" t="s">
        <v>4837</v>
      </c>
      <c r="P11" s="16" t="s">
        <v>2086</v>
      </c>
      <c r="Q11" s="16" t="s">
        <v>4838</v>
      </c>
      <c r="R11" s="16" t="s">
        <v>2300</v>
      </c>
      <c r="S11" s="13" t="s">
        <v>4839</v>
      </c>
      <c r="T11" s="16" t="s">
        <v>4840</v>
      </c>
      <c r="U11" s="71"/>
      <c r="V11" s="30" t="s">
        <v>4841</v>
      </c>
    </row>
    <row r="12" ht="16.5" customHeight="1">
      <c r="A12" s="37" t="s">
        <v>4736</v>
      </c>
      <c r="B12" s="13" t="s">
        <v>4842</v>
      </c>
      <c r="C12" s="30" t="s">
        <v>4843</v>
      </c>
      <c r="D12" s="16" t="s">
        <v>4844</v>
      </c>
      <c r="E12" s="13" t="s">
        <v>4845</v>
      </c>
      <c r="F12" s="16" t="s">
        <v>4846</v>
      </c>
      <c r="G12" s="16" t="s">
        <v>4847</v>
      </c>
      <c r="H12" s="16" t="s">
        <v>4848</v>
      </c>
      <c r="I12" s="16" t="s">
        <v>2645</v>
      </c>
      <c r="J12" s="16" t="s">
        <v>4849</v>
      </c>
      <c r="K12" s="16" t="s">
        <v>4850</v>
      </c>
      <c r="L12" s="71"/>
      <c r="M12" s="16" t="s">
        <v>4851</v>
      </c>
      <c r="N12" s="16" t="s">
        <v>4852</v>
      </c>
      <c r="O12" s="30" t="s">
        <v>4853</v>
      </c>
      <c r="P12" s="16" t="s">
        <v>4854</v>
      </c>
      <c r="Q12" s="71"/>
      <c r="R12" s="16" t="s">
        <v>4855</v>
      </c>
      <c r="S12" s="16" t="s">
        <v>4856</v>
      </c>
      <c r="T12" s="71"/>
      <c r="U12" s="16" t="s">
        <v>4857</v>
      </c>
      <c r="V12" s="16" t="s">
        <v>4858</v>
      </c>
    </row>
    <row r="13" ht="16.5" customHeight="1">
      <c r="A13" s="37" t="s">
        <v>1699</v>
      </c>
      <c r="B13" s="71"/>
      <c r="C13" s="16" t="s">
        <v>4859</v>
      </c>
      <c r="D13" s="16" t="s">
        <v>2118</v>
      </c>
      <c r="E13" s="16" t="s">
        <v>2381</v>
      </c>
      <c r="F13" s="16" t="s">
        <v>1962</v>
      </c>
      <c r="G13" s="16" t="s">
        <v>2505</v>
      </c>
      <c r="H13" s="13" t="s">
        <v>4860</v>
      </c>
      <c r="I13" s="16" t="s">
        <v>4861</v>
      </c>
      <c r="J13" s="30" t="s">
        <v>2421</v>
      </c>
      <c r="K13" s="30" t="s">
        <v>2494</v>
      </c>
      <c r="L13" s="16" t="s">
        <v>4862</v>
      </c>
      <c r="M13" s="71"/>
      <c r="N13" s="16" t="s">
        <v>2566</v>
      </c>
      <c r="O13" s="16" t="s">
        <v>2457</v>
      </c>
      <c r="P13" s="16" t="s">
        <v>2087</v>
      </c>
      <c r="Q13" s="30" t="s">
        <v>2482</v>
      </c>
      <c r="R13" s="16" t="s">
        <v>4863</v>
      </c>
      <c r="S13" s="16" t="s">
        <v>4864</v>
      </c>
      <c r="T13" s="16" t="s">
        <v>4865</v>
      </c>
      <c r="U13" s="13" t="s">
        <v>4866</v>
      </c>
      <c r="V13" s="71"/>
    </row>
    <row r="14" ht="16.5" customHeight="1">
      <c r="A14" s="37" t="s">
        <v>4737</v>
      </c>
      <c r="B14" s="16" t="s">
        <v>2407</v>
      </c>
      <c r="C14" s="16" t="s">
        <v>1720</v>
      </c>
      <c r="D14" s="16" t="s">
        <v>2119</v>
      </c>
      <c r="E14" s="13" t="s">
        <v>4867</v>
      </c>
      <c r="F14" s="16" t="s">
        <v>1978</v>
      </c>
      <c r="G14" s="16" t="s">
        <v>4868</v>
      </c>
      <c r="H14" s="16" t="s">
        <v>2653</v>
      </c>
      <c r="I14" s="16" t="s">
        <v>2654</v>
      </c>
      <c r="J14" s="13" t="s">
        <v>4869</v>
      </c>
      <c r="K14" s="71"/>
      <c r="L14" s="16" t="s">
        <v>4870</v>
      </c>
      <c r="M14" s="16" t="s">
        <v>2533</v>
      </c>
      <c r="N14" s="71"/>
      <c r="O14" s="16" t="s">
        <v>4871</v>
      </c>
      <c r="P14" s="16" t="s">
        <v>2077</v>
      </c>
      <c r="Q14" s="16" t="s">
        <v>4872</v>
      </c>
      <c r="R14" s="16" t="s">
        <v>2347</v>
      </c>
      <c r="S14" s="30" t="s">
        <v>4873</v>
      </c>
      <c r="T14" s="16" t="s">
        <v>4874</v>
      </c>
      <c r="U14" s="71"/>
      <c r="V14" s="16" t="s">
        <v>4875</v>
      </c>
    </row>
    <row r="15" ht="16.5" customHeight="1">
      <c r="A15" s="37" t="s">
        <v>1701</v>
      </c>
      <c r="B15" s="16" t="s">
        <v>2408</v>
      </c>
      <c r="C15" s="16" t="s">
        <v>1721</v>
      </c>
      <c r="D15" s="16" t="s">
        <v>2120</v>
      </c>
      <c r="E15" s="16" t="s">
        <v>4876</v>
      </c>
      <c r="F15" s="16" t="s">
        <v>4877</v>
      </c>
      <c r="G15" s="71"/>
      <c r="H15" s="16" t="s">
        <v>2661</v>
      </c>
      <c r="I15" s="16" t="s">
        <v>4878</v>
      </c>
      <c r="J15" s="71"/>
      <c r="K15" s="30" t="s">
        <v>4837</v>
      </c>
      <c r="L15" s="13" t="s">
        <v>4879</v>
      </c>
      <c r="M15" s="16" t="s">
        <v>2525</v>
      </c>
      <c r="N15" s="16" t="s">
        <v>4880</v>
      </c>
      <c r="O15" s="71"/>
      <c r="P15" s="16" t="s">
        <v>4881</v>
      </c>
      <c r="Q15" s="16" t="s">
        <v>2666</v>
      </c>
      <c r="R15" s="16" t="s">
        <v>2296</v>
      </c>
      <c r="S15" s="16" t="s">
        <v>2667</v>
      </c>
      <c r="T15" s="16" t="s">
        <v>4882</v>
      </c>
      <c r="U15" s="16" t="s">
        <v>2669</v>
      </c>
      <c r="V15" s="16" t="s">
        <v>2570</v>
      </c>
    </row>
    <row r="16" ht="16.5" customHeight="1">
      <c r="A16" s="37" t="s">
        <v>4738</v>
      </c>
      <c r="B16" s="16" t="s">
        <v>1907</v>
      </c>
      <c r="C16" s="71"/>
      <c r="D16" s="30" t="s">
        <v>1997</v>
      </c>
      <c r="E16" s="72" t="s">
        <v>1763</v>
      </c>
      <c r="F16" s="71"/>
      <c r="G16" s="16" t="s">
        <v>4883</v>
      </c>
      <c r="H16" s="16" t="s">
        <v>4884</v>
      </c>
      <c r="I16" s="16" t="s">
        <v>1817</v>
      </c>
      <c r="J16" s="16" t="s">
        <v>1943</v>
      </c>
      <c r="K16" s="16" t="s">
        <v>2051</v>
      </c>
      <c r="L16" s="16" t="s">
        <v>4885</v>
      </c>
      <c r="M16" s="16" t="s">
        <v>2069</v>
      </c>
      <c r="N16" s="16" t="s">
        <v>1871</v>
      </c>
      <c r="O16" s="16" t="s">
        <v>4886</v>
      </c>
      <c r="P16" s="71"/>
      <c r="Q16" s="16" t="s">
        <v>2033</v>
      </c>
      <c r="R16" s="30" t="s">
        <v>4887</v>
      </c>
      <c r="S16" s="16" t="s">
        <v>1835</v>
      </c>
      <c r="T16" s="16" t="s">
        <v>4888</v>
      </c>
      <c r="U16" s="16" t="s">
        <v>1925</v>
      </c>
      <c r="V16" s="16" t="s">
        <v>1745</v>
      </c>
    </row>
    <row r="17" ht="16.5" customHeight="1">
      <c r="A17" s="37" t="s">
        <v>1702</v>
      </c>
      <c r="B17" s="16" t="s">
        <v>2409</v>
      </c>
      <c r="C17" s="16" t="s">
        <v>1722</v>
      </c>
      <c r="D17" s="16" t="s">
        <v>4889</v>
      </c>
      <c r="E17" s="13" t="s">
        <v>2379</v>
      </c>
      <c r="F17" s="16" t="s">
        <v>1970</v>
      </c>
      <c r="G17" s="16" t="s">
        <v>2670</v>
      </c>
      <c r="H17" s="16" t="s">
        <v>4890</v>
      </c>
      <c r="I17" s="16" t="s">
        <v>2672</v>
      </c>
      <c r="J17" s="16" t="s">
        <v>1943</v>
      </c>
      <c r="K17" s="16" t="s">
        <v>2674</v>
      </c>
      <c r="L17" s="71"/>
      <c r="M17" s="13" t="s">
        <v>2527</v>
      </c>
      <c r="N17" s="16" t="s">
        <v>4891</v>
      </c>
      <c r="O17" s="16" t="s">
        <v>2676</v>
      </c>
      <c r="P17" s="16" t="s">
        <v>2085</v>
      </c>
      <c r="Q17" s="71"/>
      <c r="R17" s="16" t="s">
        <v>2298</v>
      </c>
      <c r="S17" s="30" t="s">
        <v>4892</v>
      </c>
      <c r="T17" s="71"/>
      <c r="U17" s="16" t="s">
        <v>2678</v>
      </c>
      <c r="V17" s="16" t="s">
        <v>2580</v>
      </c>
    </row>
    <row r="18" ht="16.5" customHeight="1">
      <c r="A18" s="37" t="s">
        <v>1704</v>
      </c>
      <c r="B18" s="16" t="s">
        <v>2362</v>
      </c>
      <c r="C18" s="13" t="s">
        <v>1723</v>
      </c>
      <c r="D18" s="71"/>
      <c r="E18" s="71"/>
      <c r="F18" s="16" t="s">
        <v>1963</v>
      </c>
      <c r="G18" s="16" t="s">
        <v>4893</v>
      </c>
      <c r="H18" s="16" t="s">
        <v>4894</v>
      </c>
      <c r="I18" s="16" t="s">
        <v>2303</v>
      </c>
      <c r="J18" s="16" t="s">
        <v>4895</v>
      </c>
      <c r="K18" s="16" t="s">
        <v>2257</v>
      </c>
      <c r="L18" s="16" t="s">
        <v>4896</v>
      </c>
      <c r="M18" s="16" t="s">
        <v>4897</v>
      </c>
      <c r="N18" s="16" t="s">
        <v>2305</v>
      </c>
      <c r="O18" s="16" t="s">
        <v>2196</v>
      </c>
      <c r="P18" s="13" t="s">
        <v>4898</v>
      </c>
      <c r="Q18" s="16" t="s">
        <v>2227</v>
      </c>
      <c r="R18" s="71"/>
      <c r="S18" s="16" t="s">
        <v>2167</v>
      </c>
      <c r="T18" s="16" t="s">
        <v>4899</v>
      </c>
      <c r="U18" s="16" t="s">
        <v>4900</v>
      </c>
      <c r="V18" s="13" t="s">
        <v>4901</v>
      </c>
    </row>
    <row r="19" ht="16.5" customHeight="1">
      <c r="A19" s="37" t="s">
        <v>4739</v>
      </c>
      <c r="B19" s="16" t="s">
        <v>2410</v>
      </c>
      <c r="C19" s="16" t="s">
        <v>1724</v>
      </c>
      <c r="D19" s="16" t="s">
        <v>2122</v>
      </c>
      <c r="E19" s="13" t="s">
        <v>2370</v>
      </c>
      <c r="F19" s="16" t="s">
        <v>1966</v>
      </c>
      <c r="G19" s="30" t="s">
        <v>2679</v>
      </c>
      <c r="H19" s="71"/>
      <c r="I19" s="71"/>
      <c r="J19" s="30" t="s">
        <v>4902</v>
      </c>
      <c r="K19" s="30" t="s">
        <v>4903</v>
      </c>
      <c r="L19" s="16" t="s">
        <v>4904</v>
      </c>
      <c r="M19" s="16" t="s">
        <v>4905</v>
      </c>
      <c r="N19" s="30" t="s">
        <v>4873</v>
      </c>
      <c r="O19" s="16" t="s">
        <v>2684</v>
      </c>
      <c r="P19" s="16" t="s">
        <v>2075</v>
      </c>
      <c r="Q19" s="13" t="s">
        <v>4906</v>
      </c>
      <c r="R19" s="16" t="s">
        <v>2294</v>
      </c>
      <c r="S19" s="71"/>
      <c r="T19" s="30" t="s">
        <v>4907</v>
      </c>
      <c r="U19" s="16" t="s">
        <v>2687</v>
      </c>
      <c r="V19" s="16" t="s">
        <v>2572</v>
      </c>
    </row>
    <row r="20" ht="16.5" customHeight="1">
      <c r="A20" s="37" t="s">
        <v>4740</v>
      </c>
      <c r="B20" s="74" t="s">
        <v>2411</v>
      </c>
      <c r="C20" s="16" t="s">
        <v>4908</v>
      </c>
      <c r="D20" s="16" t="s">
        <v>4909</v>
      </c>
      <c r="E20" s="13" t="s">
        <v>4910</v>
      </c>
      <c r="F20" s="16" t="s">
        <v>1974</v>
      </c>
      <c r="G20" s="16" t="s">
        <v>4911</v>
      </c>
      <c r="H20" s="16" t="s">
        <v>2689</v>
      </c>
      <c r="I20" s="16" t="s">
        <v>4912</v>
      </c>
      <c r="J20" s="16" t="s">
        <v>4913</v>
      </c>
      <c r="K20" s="16" t="s">
        <v>4914</v>
      </c>
      <c r="L20" s="71"/>
      <c r="M20" s="16" t="s">
        <v>4915</v>
      </c>
      <c r="N20" s="16" t="s">
        <v>4916</v>
      </c>
      <c r="O20" s="16" t="s">
        <v>4917</v>
      </c>
      <c r="P20" s="16" t="s">
        <v>4918</v>
      </c>
      <c r="Q20" s="71"/>
      <c r="R20" s="16" t="s">
        <v>4919</v>
      </c>
      <c r="S20" s="30" t="s">
        <v>4920</v>
      </c>
      <c r="T20" s="71"/>
      <c r="U20" s="16" t="s">
        <v>4921</v>
      </c>
      <c r="V20" s="16" t="s">
        <v>4922</v>
      </c>
    </row>
    <row r="21" ht="16.5" customHeight="1">
      <c r="A21" s="37" t="s">
        <v>1707</v>
      </c>
      <c r="B21" s="16" t="s">
        <v>2412</v>
      </c>
      <c r="C21" s="16" t="s">
        <v>4923</v>
      </c>
      <c r="D21" s="16" t="s">
        <v>4924</v>
      </c>
      <c r="E21" s="16" t="s">
        <v>2375</v>
      </c>
      <c r="F21" s="16" t="s">
        <v>1969</v>
      </c>
      <c r="G21" s="16" t="s">
        <v>2605</v>
      </c>
      <c r="H21" s="16" t="s">
        <v>2698</v>
      </c>
      <c r="I21" s="16" t="s">
        <v>4925</v>
      </c>
      <c r="J21" s="16" t="s">
        <v>2700</v>
      </c>
      <c r="K21" s="71"/>
      <c r="L21" s="16" t="s">
        <v>4926</v>
      </c>
      <c r="M21" s="67" t="s">
        <v>4927</v>
      </c>
      <c r="N21" s="71"/>
      <c r="O21" s="16" t="s">
        <v>2702</v>
      </c>
      <c r="P21" s="16" t="s">
        <v>2080</v>
      </c>
      <c r="Q21" s="16" t="s">
        <v>2703</v>
      </c>
      <c r="R21" s="16" t="s">
        <v>4928</v>
      </c>
      <c r="S21" s="16" t="s">
        <v>2704</v>
      </c>
      <c r="T21" s="16" t="s">
        <v>4929</v>
      </c>
      <c r="U21" s="71"/>
      <c r="V21" s="16" t="s">
        <v>2576</v>
      </c>
    </row>
    <row r="22" ht="16.5" customHeight="1">
      <c r="A22" s="37" t="s">
        <v>4741</v>
      </c>
      <c r="B22" s="71"/>
      <c r="C22" s="13" t="s">
        <v>4930</v>
      </c>
      <c r="D22" s="16" t="s">
        <v>2125</v>
      </c>
      <c r="E22" s="16" t="s">
        <v>4931</v>
      </c>
      <c r="F22" s="13" t="s">
        <v>4932</v>
      </c>
      <c r="G22" s="16" t="s">
        <v>2461</v>
      </c>
      <c r="H22" s="16" t="s">
        <v>4933</v>
      </c>
      <c r="I22" s="74" t="s">
        <v>4934</v>
      </c>
      <c r="J22" s="16" t="s">
        <v>4935</v>
      </c>
      <c r="K22" s="30" t="s">
        <v>4936</v>
      </c>
      <c r="L22" s="16" t="s">
        <v>4937</v>
      </c>
      <c r="M22" s="71"/>
      <c r="N22" s="16" t="s">
        <v>4938</v>
      </c>
      <c r="O22" s="16" t="s">
        <v>2425</v>
      </c>
      <c r="P22" s="16" t="s">
        <v>2070</v>
      </c>
      <c r="Q22" s="16" t="s">
        <v>2557</v>
      </c>
      <c r="R22" s="30" t="s">
        <v>4939</v>
      </c>
      <c r="S22" s="16" t="s">
        <v>2449</v>
      </c>
      <c r="T22" s="16" t="s">
        <v>4940</v>
      </c>
      <c r="U22" s="16" t="s">
        <v>2497</v>
      </c>
      <c r="V22" s="71"/>
    </row>
    <row r="23" ht="16.5" customHeight="1">
      <c r="A23" s="1"/>
    </row>
    <row r="24" ht="16.5" customHeight="1">
      <c r="A24" s="1"/>
      <c r="B24" s="75" t="s">
        <v>2110</v>
      </c>
      <c r="D24" s="16"/>
      <c r="E24" s="16"/>
      <c r="F24" s="16"/>
      <c r="G24" s="16"/>
    </row>
    <row r="25" ht="16.5" customHeight="1">
      <c r="A25" s="1"/>
      <c r="B25" s="75">
        <f>COUNTA(B2:V2)+COUNTA(B3:V3)+COUNTA(B4:V4)+COUNTA(B5:V5)+COUNTA(B6:V6)+COUNTA(B7:V7)+COUNTA(B8:V8)+COUNTA(B9:V9)+COUNTA(B10:V10)+COUNTA(B11:V11)+COUNTA(B12:V12)+COUNTA(B13:V13)+COUNTA(B14:V14)+COUNTA(B15:V15)+COUNTA(B16:V16)+COUNTA(B17:V17)+COUNTA(B18:V18)+COUNTA(B19:V19)+COUNTA(B20:V20)+COUNTA(B21:V21)+COUNTA(B22:V22)</f>
        <v>378</v>
      </c>
      <c r="D25" s="16"/>
      <c r="E25" s="30"/>
      <c r="F25" s="16"/>
      <c r="G25" s="30"/>
    </row>
    <row r="26" ht="16.5" customHeight="1">
      <c r="A26" s="1"/>
      <c r="D26" s="49"/>
      <c r="E26" s="50"/>
      <c r="F26" s="51"/>
      <c r="G26" s="50"/>
    </row>
    <row r="27" ht="16.5" customHeight="1">
      <c r="A27" s="1"/>
    </row>
    <row r="28" ht="16.5" customHeight="1">
      <c r="A28" s="1"/>
    </row>
    <row r="29" ht="16.5" customHeight="1">
      <c r="A29" s="1"/>
      <c r="J29" s="8"/>
      <c r="K29" s="8"/>
      <c r="L29" s="8"/>
      <c r="M29" s="8"/>
      <c r="N29" s="8"/>
      <c r="O29" s="8"/>
      <c r="P29" s="8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33.14"/>
  </cols>
  <sheetData>
    <row r="1">
      <c r="B1" s="8" t="s">
        <v>4941</v>
      </c>
      <c r="C1" s="8" t="s">
        <v>4942</v>
      </c>
      <c r="D1" s="8" t="s">
        <v>4943</v>
      </c>
      <c r="E1" s="8" t="s">
        <v>4944</v>
      </c>
      <c r="F1" s="8" t="s">
        <v>4945</v>
      </c>
      <c r="G1" s="8" t="s">
        <v>4946</v>
      </c>
      <c r="H1" s="8" t="s">
        <v>4947</v>
      </c>
    </row>
    <row r="2">
      <c r="A2" s="8"/>
      <c r="B2" s="8" t="s">
        <v>4948</v>
      </c>
      <c r="C2" s="8" t="s">
        <v>4949</v>
      </c>
      <c r="D2" s="8" t="s">
        <v>4950</v>
      </c>
      <c r="E2" s="76" t="s">
        <v>4951</v>
      </c>
      <c r="F2" s="8" t="s">
        <v>4952</v>
      </c>
      <c r="G2" s="8" t="s">
        <v>4953</v>
      </c>
      <c r="H2" s="8" t="s">
        <v>4954</v>
      </c>
    </row>
    <row r="3">
      <c r="B3" s="76" t="s">
        <v>4955</v>
      </c>
      <c r="C3" s="76" t="s">
        <v>4956</v>
      </c>
      <c r="D3" s="8" t="s">
        <v>4957</v>
      </c>
      <c r="E3" s="76" t="s">
        <v>4958</v>
      </c>
      <c r="F3" s="8" t="s">
        <v>4959</v>
      </c>
      <c r="G3" s="77" t="s">
        <v>4960</v>
      </c>
      <c r="H3" s="77" t="s">
        <v>4961</v>
      </c>
    </row>
    <row r="4">
      <c r="A4" s="8" t="s">
        <v>4962</v>
      </c>
      <c r="B4" s="8" t="s">
        <v>4963</v>
      </c>
      <c r="C4" s="8" t="s">
        <v>4964</v>
      </c>
      <c r="D4" s="8" t="s">
        <v>4965</v>
      </c>
      <c r="E4" s="8" t="s">
        <v>4966</v>
      </c>
      <c r="F4" s="8" t="s">
        <v>4967</v>
      </c>
      <c r="G4" s="8" t="s">
        <v>4968</v>
      </c>
      <c r="H4" s="77" t="s">
        <v>4969</v>
      </c>
    </row>
    <row r="6">
      <c r="B6" s="8" t="s">
        <v>4970</v>
      </c>
      <c r="C6" s="8" t="s">
        <v>4971</v>
      </c>
      <c r="D6" s="8" t="s">
        <v>4972</v>
      </c>
      <c r="E6" s="8" t="s">
        <v>4973</v>
      </c>
      <c r="F6" s="8" t="s">
        <v>4974</v>
      </c>
      <c r="G6" s="8" t="s">
        <v>4975</v>
      </c>
      <c r="H6" s="8" t="s">
        <v>4976</v>
      </c>
    </row>
    <row r="7">
      <c r="B7" s="76" t="s">
        <v>4977</v>
      </c>
      <c r="C7" s="76" t="s">
        <v>4978</v>
      </c>
      <c r="D7" s="8" t="s">
        <v>4979</v>
      </c>
      <c r="E7" s="8" t="s">
        <v>4980</v>
      </c>
      <c r="F7" s="8" t="s">
        <v>4981</v>
      </c>
      <c r="G7" s="77" t="s">
        <v>4982</v>
      </c>
      <c r="H7" s="77" t="s">
        <v>4983</v>
      </c>
    </row>
    <row r="8">
      <c r="A8" s="8" t="s">
        <v>4962</v>
      </c>
      <c r="B8" s="8" t="s">
        <v>4963</v>
      </c>
      <c r="C8" s="8" t="s">
        <v>4984</v>
      </c>
      <c r="D8" s="8" t="s">
        <v>4985</v>
      </c>
      <c r="E8" s="8" t="s">
        <v>4986</v>
      </c>
      <c r="F8" s="8" t="s">
        <v>4987</v>
      </c>
      <c r="G8" s="8" t="s">
        <v>4988</v>
      </c>
      <c r="H8" s="8" t="s">
        <v>4989</v>
      </c>
    </row>
    <row r="10">
      <c r="A10" s="8"/>
      <c r="C10" s="8" t="s">
        <v>4990</v>
      </c>
      <c r="E10" s="8"/>
    </row>
    <row r="12">
      <c r="B12" s="8" t="s">
        <v>4991</v>
      </c>
    </row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33.14"/>
  </cols>
  <sheetData>
    <row r="1">
      <c r="A1" s="52"/>
      <c r="B1" s="32" t="s">
        <v>4992</v>
      </c>
      <c r="C1" s="32" t="s">
        <v>4941</v>
      </c>
      <c r="D1" s="32" t="s">
        <v>4943</v>
      </c>
      <c r="E1" s="32" t="s">
        <v>4944</v>
      </c>
      <c r="F1" s="32" t="s">
        <v>4945</v>
      </c>
      <c r="G1" s="32" t="s">
        <v>4946</v>
      </c>
      <c r="H1" s="32" t="s">
        <v>4947</v>
      </c>
      <c r="I1" s="52"/>
    </row>
    <row r="2">
      <c r="A2" s="32"/>
      <c r="B2" s="32" t="s">
        <v>4993</v>
      </c>
      <c r="C2" s="32" t="s">
        <v>4948</v>
      </c>
      <c r="D2" s="32" t="s">
        <v>4950</v>
      </c>
      <c r="E2" s="11" t="s">
        <v>4951</v>
      </c>
      <c r="F2" s="32" t="s">
        <v>4952</v>
      </c>
      <c r="G2" s="32" t="s">
        <v>4953</v>
      </c>
      <c r="H2" s="32" t="s">
        <v>4954</v>
      </c>
      <c r="I2" s="52"/>
    </row>
    <row r="3">
      <c r="A3" s="32"/>
      <c r="B3" s="11" t="s">
        <v>4978</v>
      </c>
      <c r="C3" s="11" t="s">
        <v>4994</v>
      </c>
      <c r="D3" s="11" t="s">
        <v>4995</v>
      </c>
      <c r="E3" s="11" t="s">
        <v>4996</v>
      </c>
      <c r="F3" s="32" t="s">
        <v>4997</v>
      </c>
      <c r="G3" s="12" t="s">
        <v>4998</v>
      </c>
      <c r="H3" s="32" t="s">
        <v>4999</v>
      </c>
      <c r="I3" s="52"/>
    </row>
    <row r="4">
      <c r="A4" s="32" t="s">
        <v>4962</v>
      </c>
      <c r="B4" s="32" t="s">
        <v>4963</v>
      </c>
      <c r="C4" s="32" t="s">
        <v>4963</v>
      </c>
      <c r="D4" s="32" t="s">
        <v>4963</v>
      </c>
      <c r="E4" s="32" t="s">
        <v>5000</v>
      </c>
      <c r="F4" s="32" t="s">
        <v>5001</v>
      </c>
      <c r="G4" s="32" t="s">
        <v>5002</v>
      </c>
      <c r="H4" s="32" t="s">
        <v>5003</v>
      </c>
      <c r="I4" s="52"/>
    </row>
    <row r="5">
      <c r="A5" s="52"/>
      <c r="B5" s="52"/>
      <c r="C5" s="52"/>
      <c r="D5" s="52"/>
      <c r="E5" s="52"/>
      <c r="F5" s="52"/>
      <c r="G5" s="52"/>
      <c r="H5" s="52"/>
      <c r="I5" s="52"/>
    </row>
    <row r="6">
      <c r="A6" s="52"/>
      <c r="B6" s="32" t="s">
        <v>5004</v>
      </c>
      <c r="C6" s="32" t="s">
        <v>4970</v>
      </c>
      <c r="D6" s="32" t="s">
        <v>4972</v>
      </c>
      <c r="E6" s="32" t="s">
        <v>4973</v>
      </c>
      <c r="F6" s="32" t="s">
        <v>4974</v>
      </c>
      <c r="G6" s="32" t="s">
        <v>4975</v>
      </c>
      <c r="H6" s="32" t="s">
        <v>4976</v>
      </c>
      <c r="I6" s="52"/>
    </row>
    <row r="7">
      <c r="A7" s="52"/>
      <c r="B7" s="11" t="s">
        <v>4956</v>
      </c>
      <c r="C7" s="11" t="s">
        <v>5005</v>
      </c>
      <c r="D7" s="11" t="s">
        <v>5006</v>
      </c>
      <c r="E7" s="32" t="s">
        <v>5007</v>
      </c>
      <c r="F7" s="32" t="s">
        <v>5008</v>
      </c>
      <c r="G7" s="12" t="s">
        <v>5009</v>
      </c>
      <c r="H7" s="12" t="s">
        <v>5010</v>
      </c>
      <c r="I7" s="52"/>
    </row>
    <row r="8">
      <c r="A8" s="32" t="s">
        <v>4962</v>
      </c>
      <c r="B8" s="32" t="s">
        <v>4963</v>
      </c>
      <c r="C8" s="32" t="s">
        <v>4963</v>
      </c>
      <c r="D8" s="32" t="s">
        <v>4963</v>
      </c>
      <c r="E8" s="32" t="s">
        <v>5011</v>
      </c>
      <c r="F8" s="32" t="s">
        <v>5012</v>
      </c>
      <c r="G8" s="32" t="s">
        <v>5013</v>
      </c>
      <c r="H8" s="32" t="s">
        <v>5014</v>
      </c>
      <c r="I8" s="52"/>
    </row>
    <row r="9">
      <c r="A9" s="52"/>
      <c r="B9" s="52"/>
      <c r="C9" s="52"/>
      <c r="D9" s="52"/>
      <c r="E9" s="52"/>
      <c r="F9" s="52"/>
      <c r="G9" s="52"/>
      <c r="H9" s="52"/>
      <c r="I9" s="52"/>
    </row>
    <row r="10">
      <c r="A10" s="32"/>
      <c r="B10" s="52"/>
      <c r="C10" s="52"/>
      <c r="D10" s="52"/>
      <c r="E10" s="32"/>
      <c r="F10" s="52"/>
      <c r="G10" s="52"/>
      <c r="H10" s="52"/>
      <c r="I10" s="52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>
      <c r="B12" s="8" t="s">
        <v>4991</v>
      </c>
    </row>
  </sheetData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36" t="s">
        <v>0</v>
      </c>
      <c r="B1" s="37" t="s">
        <v>5015</v>
      </c>
      <c r="C1" s="37" t="s">
        <v>5016</v>
      </c>
      <c r="D1" s="37" t="s">
        <v>5017</v>
      </c>
      <c r="E1" s="37" t="s">
        <v>5018</v>
      </c>
      <c r="F1" s="37" t="s">
        <v>5019</v>
      </c>
      <c r="G1" s="37" t="s">
        <v>5020</v>
      </c>
      <c r="H1" s="37" t="s">
        <v>5021</v>
      </c>
      <c r="I1" s="37" t="s">
        <v>5022</v>
      </c>
      <c r="J1" s="37" t="s">
        <v>5023</v>
      </c>
      <c r="K1" s="37" t="s">
        <v>5024</v>
      </c>
      <c r="L1" s="37" t="s">
        <v>5025</v>
      </c>
      <c r="M1" s="37" t="s">
        <v>5026</v>
      </c>
      <c r="N1" s="37" t="s">
        <v>5027</v>
      </c>
      <c r="O1" s="37" t="s">
        <v>5028</v>
      </c>
      <c r="P1" s="37" t="s">
        <v>5029</v>
      </c>
      <c r="Q1" s="37" t="s">
        <v>5030</v>
      </c>
      <c r="R1" s="37" t="s">
        <v>5031</v>
      </c>
      <c r="S1" s="37" t="s">
        <v>5032</v>
      </c>
      <c r="T1" s="37" t="s">
        <v>5033</v>
      </c>
      <c r="U1" s="37" t="s">
        <v>5034</v>
      </c>
      <c r="V1" s="37" t="s">
        <v>5035</v>
      </c>
      <c r="W1" s="37" t="s">
        <v>5036</v>
      </c>
      <c r="X1" s="1"/>
      <c r="Y1" s="1"/>
      <c r="Z1" s="1"/>
    </row>
    <row r="2" ht="16.5" customHeight="1">
      <c r="A2" s="37" t="s">
        <v>5015</v>
      </c>
      <c r="B2" s="71"/>
      <c r="C2" s="16" t="s">
        <v>367</v>
      </c>
      <c r="D2" s="16" t="s">
        <v>3482</v>
      </c>
      <c r="E2" s="16" t="s">
        <v>385</v>
      </c>
      <c r="F2" s="16" t="s">
        <v>52</v>
      </c>
      <c r="G2" s="16" t="s">
        <v>404</v>
      </c>
      <c r="H2" s="16" t="s">
        <v>441</v>
      </c>
      <c r="I2" s="16" t="s">
        <v>477</v>
      </c>
      <c r="J2" s="16" t="s">
        <v>5037</v>
      </c>
      <c r="K2" s="16" t="s">
        <v>513</v>
      </c>
      <c r="L2" s="16" t="s">
        <v>5038</v>
      </c>
      <c r="M2" s="16" t="s">
        <v>5039</v>
      </c>
      <c r="N2" s="30" t="s">
        <v>566</v>
      </c>
      <c r="O2" s="16" t="s">
        <v>584</v>
      </c>
      <c r="P2" s="30" t="s">
        <v>5040</v>
      </c>
      <c r="Q2" s="16" t="s">
        <v>5041</v>
      </c>
      <c r="R2" s="30" t="s">
        <v>638</v>
      </c>
      <c r="S2" s="30" t="s">
        <v>5042</v>
      </c>
      <c r="T2" s="16" t="s">
        <v>5043</v>
      </c>
      <c r="U2" s="16" t="s">
        <v>692</v>
      </c>
      <c r="V2" s="71"/>
      <c r="W2" s="16" t="s">
        <v>710</v>
      </c>
    </row>
    <row r="3" ht="16.5" customHeight="1">
      <c r="A3" s="37" t="s">
        <v>5016</v>
      </c>
      <c r="B3" s="16" t="s">
        <v>420</v>
      </c>
      <c r="C3" s="71"/>
      <c r="D3" s="16" t="s">
        <v>5044</v>
      </c>
      <c r="E3" s="16" t="s">
        <v>727</v>
      </c>
      <c r="F3" s="16" t="s">
        <v>5045</v>
      </c>
      <c r="G3" s="16" t="s">
        <v>743</v>
      </c>
      <c r="H3" s="16" t="s">
        <v>776</v>
      </c>
      <c r="I3" s="13" t="s">
        <v>808</v>
      </c>
      <c r="J3" s="30" t="s">
        <v>5046</v>
      </c>
      <c r="K3" s="16" t="s">
        <v>840</v>
      </c>
      <c r="L3" s="16" t="s">
        <v>5047</v>
      </c>
      <c r="M3" s="16" t="s">
        <v>872</v>
      </c>
      <c r="N3" s="30" t="s">
        <v>5048</v>
      </c>
      <c r="O3" s="71"/>
      <c r="P3" s="30" t="s">
        <v>904</v>
      </c>
      <c r="Q3" s="16" t="s">
        <v>919</v>
      </c>
      <c r="R3" s="30" t="s">
        <v>936</v>
      </c>
      <c r="S3" s="16" t="s">
        <v>952</v>
      </c>
      <c r="T3" s="16" t="s">
        <v>5049</v>
      </c>
      <c r="U3" s="16" t="s">
        <v>982</v>
      </c>
      <c r="V3" s="16" t="s">
        <v>466</v>
      </c>
      <c r="W3" s="16" t="s">
        <v>595</v>
      </c>
    </row>
    <row r="4" ht="16.5" customHeight="1">
      <c r="A4" s="37" t="s">
        <v>5017</v>
      </c>
      <c r="B4" s="16" t="s">
        <v>3405</v>
      </c>
      <c r="C4" s="16" t="s">
        <v>5050</v>
      </c>
      <c r="D4" s="71"/>
      <c r="E4" s="16" t="s">
        <v>5051</v>
      </c>
      <c r="F4" s="71"/>
      <c r="G4" s="16" t="s">
        <v>3465</v>
      </c>
      <c r="H4" s="16" t="s">
        <v>3505</v>
      </c>
      <c r="I4" s="30" t="s">
        <v>5052</v>
      </c>
      <c r="J4" s="30" t="s">
        <v>78</v>
      </c>
      <c r="K4" s="16" t="s">
        <v>5053</v>
      </c>
      <c r="L4" s="30" t="s">
        <v>118</v>
      </c>
      <c r="M4" s="16" t="s">
        <v>138</v>
      </c>
      <c r="N4" s="16" t="s">
        <v>5054</v>
      </c>
      <c r="O4" s="16" t="s">
        <v>176</v>
      </c>
      <c r="P4" s="30" t="s">
        <v>197</v>
      </c>
      <c r="Q4" s="16" t="s">
        <v>216</v>
      </c>
      <c r="R4" s="16" t="s">
        <v>5055</v>
      </c>
      <c r="S4" s="16" t="s">
        <v>5056</v>
      </c>
      <c r="T4" s="16" t="s">
        <v>5057</v>
      </c>
      <c r="U4" s="16" t="s">
        <v>296</v>
      </c>
      <c r="V4" s="16" t="s">
        <v>315</v>
      </c>
      <c r="W4" s="16" t="s">
        <v>335</v>
      </c>
    </row>
    <row r="5" ht="16.5" customHeight="1">
      <c r="A5" s="37" t="s">
        <v>5018</v>
      </c>
      <c r="B5" s="16" t="s">
        <v>421</v>
      </c>
      <c r="C5" s="16" t="s">
        <v>759</v>
      </c>
      <c r="D5" s="16" t="s">
        <v>5058</v>
      </c>
      <c r="E5" s="71"/>
      <c r="F5" s="16" t="s">
        <v>5059</v>
      </c>
      <c r="G5" s="16" t="s">
        <v>1012</v>
      </c>
      <c r="H5" s="16" t="s">
        <v>1042</v>
      </c>
      <c r="I5" s="16" t="s">
        <v>1070</v>
      </c>
      <c r="J5" s="30" t="s">
        <v>5060</v>
      </c>
      <c r="K5" s="30" t="s">
        <v>1098</v>
      </c>
      <c r="L5" s="30" t="s">
        <v>1112</v>
      </c>
      <c r="M5" s="16" t="s">
        <v>1126</v>
      </c>
      <c r="N5" s="30" t="s">
        <v>5061</v>
      </c>
      <c r="O5" s="16" t="s">
        <v>5062</v>
      </c>
      <c r="P5" s="16" t="s">
        <v>5063</v>
      </c>
      <c r="Q5" s="71"/>
      <c r="R5" s="30" t="s">
        <v>5064</v>
      </c>
      <c r="S5" s="16" t="s">
        <v>5065</v>
      </c>
      <c r="T5" s="16" t="s">
        <v>5066</v>
      </c>
      <c r="U5" s="16" t="s">
        <v>1209</v>
      </c>
      <c r="V5" s="16" t="s">
        <v>468</v>
      </c>
      <c r="W5" s="16" t="s">
        <v>1223</v>
      </c>
    </row>
    <row r="6" ht="16.5" customHeight="1">
      <c r="A6" s="37" t="s">
        <v>5019</v>
      </c>
      <c r="B6" s="16" t="s">
        <v>317</v>
      </c>
      <c r="C6" s="16" t="s">
        <v>5067</v>
      </c>
      <c r="D6" s="71"/>
      <c r="E6" s="16" t="s">
        <v>5068</v>
      </c>
      <c r="F6" s="71"/>
      <c r="G6" s="30" t="s">
        <v>159</v>
      </c>
      <c r="H6" s="78" t="s">
        <v>5069</v>
      </c>
      <c r="I6" s="30" t="s">
        <v>140</v>
      </c>
      <c r="J6" s="16" t="s">
        <v>278</v>
      </c>
      <c r="K6" s="30" t="s">
        <v>258</v>
      </c>
      <c r="L6" s="30" t="s">
        <v>5070</v>
      </c>
      <c r="M6" s="16" t="s">
        <v>3546</v>
      </c>
      <c r="N6" s="30" t="s">
        <v>5071</v>
      </c>
      <c r="O6" s="16" t="s">
        <v>5072</v>
      </c>
      <c r="P6" s="30" t="s">
        <v>5073</v>
      </c>
      <c r="Q6" s="16" t="s">
        <v>5074</v>
      </c>
      <c r="R6" s="30" t="s">
        <v>5075</v>
      </c>
      <c r="S6" s="16" t="s">
        <v>3581</v>
      </c>
      <c r="T6" s="16" t="s">
        <v>80</v>
      </c>
      <c r="U6" s="30" t="s">
        <v>120</v>
      </c>
      <c r="V6" s="16" t="s">
        <v>3407</v>
      </c>
      <c r="W6" s="16" t="s">
        <v>199</v>
      </c>
    </row>
    <row r="7" ht="16.5" customHeight="1">
      <c r="A7" s="37" t="s">
        <v>5020</v>
      </c>
      <c r="B7" s="16" t="s">
        <v>422</v>
      </c>
      <c r="C7" s="16" t="s">
        <v>760</v>
      </c>
      <c r="D7" s="16" t="s">
        <v>3485</v>
      </c>
      <c r="E7" s="16" t="s">
        <v>1026</v>
      </c>
      <c r="F7" s="16" t="s">
        <v>44</v>
      </c>
      <c r="G7" s="71"/>
      <c r="H7" s="16" t="s">
        <v>5076</v>
      </c>
      <c r="I7" s="16" t="s">
        <v>1273</v>
      </c>
      <c r="J7" s="16" t="s">
        <v>1285</v>
      </c>
      <c r="K7" s="16" t="s">
        <v>1297</v>
      </c>
      <c r="L7" s="16" t="s">
        <v>1309</v>
      </c>
      <c r="M7" s="16" t="s">
        <v>1321</v>
      </c>
      <c r="N7" s="71"/>
      <c r="O7" s="30" t="s">
        <v>798</v>
      </c>
      <c r="P7" s="16" t="s">
        <v>1333</v>
      </c>
      <c r="Q7" s="16" t="s">
        <v>1062</v>
      </c>
      <c r="R7" s="16" t="s">
        <v>1345</v>
      </c>
      <c r="S7" s="16" t="s">
        <v>5077</v>
      </c>
      <c r="T7" s="16" t="s">
        <v>5078</v>
      </c>
      <c r="U7" s="16" t="s">
        <v>5079</v>
      </c>
      <c r="V7" s="16" t="s">
        <v>465</v>
      </c>
      <c r="W7" s="30" t="s">
        <v>5080</v>
      </c>
    </row>
    <row r="8" ht="16.5" customHeight="1">
      <c r="A8" s="37" t="s">
        <v>5021</v>
      </c>
      <c r="B8" s="16" t="s">
        <v>423</v>
      </c>
      <c r="C8" s="16" t="s">
        <v>761</v>
      </c>
      <c r="D8" s="16" t="s">
        <v>3486</v>
      </c>
      <c r="E8" s="16" t="s">
        <v>1027</v>
      </c>
      <c r="F8" s="16" t="s">
        <v>48</v>
      </c>
      <c r="G8" s="16" t="s">
        <v>5081</v>
      </c>
      <c r="H8" s="71"/>
      <c r="I8" s="16" t="s">
        <v>1427</v>
      </c>
      <c r="J8" s="16" t="s">
        <v>1437</v>
      </c>
      <c r="K8" s="16" t="s">
        <v>1447</v>
      </c>
      <c r="L8" s="16" t="s">
        <v>1457</v>
      </c>
      <c r="M8" s="16" t="s">
        <v>5082</v>
      </c>
      <c r="N8" s="16" t="s">
        <v>5083</v>
      </c>
      <c r="O8" s="16" t="s">
        <v>801</v>
      </c>
      <c r="P8" s="16" t="s">
        <v>5084</v>
      </c>
      <c r="Q8" s="30" t="s">
        <v>1064</v>
      </c>
      <c r="R8" s="71"/>
      <c r="S8" s="16" t="s">
        <v>1486</v>
      </c>
      <c r="T8" s="16" t="s">
        <v>5085</v>
      </c>
      <c r="U8" s="16" t="s">
        <v>1505</v>
      </c>
      <c r="V8" s="16" t="s">
        <v>469</v>
      </c>
      <c r="W8" s="16" t="s">
        <v>5086</v>
      </c>
    </row>
    <row r="9" ht="16.5" customHeight="1">
      <c r="A9" s="37" t="s">
        <v>5022</v>
      </c>
      <c r="B9" s="16" t="s">
        <v>424</v>
      </c>
      <c r="C9" s="30" t="s">
        <v>762</v>
      </c>
      <c r="D9" s="30" t="s">
        <v>5087</v>
      </c>
      <c r="E9" s="16" t="s">
        <v>1028</v>
      </c>
      <c r="F9" s="16" t="s">
        <v>43</v>
      </c>
      <c r="G9" s="16" t="s">
        <v>1237</v>
      </c>
      <c r="H9" s="16" t="s">
        <v>1406</v>
      </c>
      <c r="I9" s="71"/>
      <c r="J9" s="30" t="s">
        <v>1526</v>
      </c>
      <c r="K9" s="16" t="s">
        <v>5088</v>
      </c>
      <c r="L9" s="30" t="s">
        <v>1528</v>
      </c>
      <c r="M9" s="71"/>
      <c r="N9" s="16" t="s">
        <v>5089</v>
      </c>
      <c r="O9" s="16" t="s">
        <v>797</v>
      </c>
      <c r="P9" s="30" t="s">
        <v>5090</v>
      </c>
      <c r="Q9" s="16" t="s">
        <v>1061</v>
      </c>
      <c r="R9" s="30" t="s">
        <v>5091</v>
      </c>
      <c r="S9" s="16" t="s">
        <v>1530</v>
      </c>
      <c r="T9" s="16" t="s">
        <v>5092</v>
      </c>
      <c r="U9" s="16" t="s">
        <v>5093</v>
      </c>
      <c r="V9" s="16" t="s">
        <v>464</v>
      </c>
      <c r="W9" s="16" t="s">
        <v>5094</v>
      </c>
    </row>
    <row r="10" ht="16.5" customHeight="1">
      <c r="A10" s="37" t="s">
        <v>5023</v>
      </c>
      <c r="B10" s="16" t="s">
        <v>5095</v>
      </c>
      <c r="C10" s="13" t="s">
        <v>5096</v>
      </c>
      <c r="D10" s="13" t="s">
        <v>5097</v>
      </c>
      <c r="E10" s="13" t="s">
        <v>5098</v>
      </c>
      <c r="F10" s="16" t="s">
        <v>50</v>
      </c>
      <c r="G10" s="16" t="s">
        <v>5099</v>
      </c>
      <c r="H10" s="16" t="s">
        <v>1407</v>
      </c>
      <c r="I10" s="30" t="s">
        <v>1535</v>
      </c>
      <c r="J10" s="71"/>
      <c r="K10" s="30" t="s">
        <v>1536</v>
      </c>
      <c r="L10" s="16" t="s">
        <v>1537</v>
      </c>
      <c r="M10" s="16" t="s">
        <v>5100</v>
      </c>
      <c r="N10" s="16" t="s">
        <v>1270</v>
      </c>
      <c r="O10" s="16" t="s">
        <v>5101</v>
      </c>
      <c r="P10" s="16" t="s">
        <v>1539</v>
      </c>
      <c r="Q10" s="16" t="s">
        <v>5102</v>
      </c>
      <c r="R10" s="16" t="s">
        <v>1424</v>
      </c>
      <c r="S10" s="16" t="s">
        <v>1540</v>
      </c>
      <c r="T10" s="71"/>
      <c r="U10" s="16" t="s">
        <v>5103</v>
      </c>
      <c r="V10" s="16" t="s">
        <v>471</v>
      </c>
      <c r="W10" s="16" t="s">
        <v>5104</v>
      </c>
    </row>
    <row r="11" ht="16.5" customHeight="1">
      <c r="A11" s="37" t="s">
        <v>5024</v>
      </c>
      <c r="B11" s="16" t="s">
        <v>426</v>
      </c>
      <c r="C11" s="16" t="s">
        <v>764</v>
      </c>
      <c r="D11" s="16" t="s">
        <v>5105</v>
      </c>
      <c r="E11" s="13" t="s">
        <v>1030</v>
      </c>
      <c r="F11" s="16" t="s">
        <v>49</v>
      </c>
      <c r="G11" s="16" t="s">
        <v>1239</v>
      </c>
      <c r="H11" s="16" t="s">
        <v>1408</v>
      </c>
      <c r="I11" s="16" t="s">
        <v>5106</v>
      </c>
      <c r="J11" s="30" t="s">
        <v>1544</v>
      </c>
      <c r="K11" s="71"/>
      <c r="L11" s="30" t="s">
        <v>5107</v>
      </c>
      <c r="M11" s="16" t="s">
        <v>1546</v>
      </c>
      <c r="N11" s="30" t="s">
        <v>5108</v>
      </c>
      <c r="O11" s="16" t="s">
        <v>802</v>
      </c>
      <c r="P11" s="30" t="s">
        <v>5109</v>
      </c>
      <c r="Q11" s="16" t="s">
        <v>1065</v>
      </c>
      <c r="R11" s="16" t="s">
        <v>5110</v>
      </c>
      <c r="S11" s="71"/>
      <c r="T11" s="16" t="s">
        <v>5111</v>
      </c>
      <c r="U11" s="16" t="s">
        <v>5112</v>
      </c>
      <c r="V11" s="16" t="s">
        <v>470</v>
      </c>
      <c r="W11" s="16" t="s">
        <v>5113</v>
      </c>
    </row>
    <row r="12" ht="16.5" customHeight="1">
      <c r="A12" s="37" t="s">
        <v>5025</v>
      </c>
      <c r="B12" s="16" t="s">
        <v>5114</v>
      </c>
      <c r="C12" s="30" t="s">
        <v>5115</v>
      </c>
      <c r="D12" s="16" t="s">
        <v>3490</v>
      </c>
      <c r="E12" s="13" t="s">
        <v>1031</v>
      </c>
      <c r="F12" s="13" t="s">
        <v>5116</v>
      </c>
      <c r="G12" s="16" t="s">
        <v>1240</v>
      </c>
      <c r="H12" s="16" t="s">
        <v>1409</v>
      </c>
      <c r="I12" s="13" t="s">
        <v>1551</v>
      </c>
      <c r="J12" s="30" t="s">
        <v>5117</v>
      </c>
      <c r="K12" s="13" t="s">
        <v>5118</v>
      </c>
      <c r="L12" s="71"/>
      <c r="M12" s="16" t="s">
        <v>5119</v>
      </c>
      <c r="N12" s="16" t="s">
        <v>5120</v>
      </c>
      <c r="O12" s="16" t="s">
        <v>804</v>
      </c>
      <c r="P12" s="16" t="s">
        <v>5121</v>
      </c>
      <c r="Q12" s="16" t="s">
        <v>1067</v>
      </c>
      <c r="R12" s="30" t="s">
        <v>1425</v>
      </c>
      <c r="S12" s="16" t="s">
        <v>1554</v>
      </c>
      <c r="T12" s="16" t="s">
        <v>5122</v>
      </c>
      <c r="U12" s="71"/>
      <c r="V12" s="16" t="s">
        <v>5123</v>
      </c>
      <c r="W12" s="16" t="s">
        <v>1556</v>
      </c>
    </row>
    <row r="13" ht="16.5" customHeight="1">
      <c r="A13" s="37" t="s">
        <v>5026</v>
      </c>
      <c r="B13" s="16" t="s">
        <v>5124</v>
      </c>
      <c r="C13" s="16" t="s">
        <v>766</v>
      </c>
      <c r="D13" s="16" t="s">
        <v>28</v>
      </c>
      <c r="E13" s="16" t="s">
        <v>1032</v>
      </c>
      <c r="F13" s="16" t="s">
        <v>3525</v>
      </c>
      <c r="G13" s="16" t="s">
        <v>1241</v>
      </c>
      <c r="H13" s="16" t="s">
        <v>5125</v>
      </c>
      <c r="I13" s="71"/>
      <c r="J13" s="16" t="s">
        <v>5126</v>
      </c>
      <c r="K13" s="16" t="s">
        <v>1558</v>
      </c>
      <c r="L13" s="16" t="s">
        <v>5127</v>
      </c>
      <c r="M13" s="71"/>
      <c r="N13" s="16" t="s">
        <v>5128</v>
      </c>
      <c r="O13" s="16" t="s">
        <v>5129</v>
      </c>
      <c r="P13" s="16" t="s">
        <v>1560</v>
      </c>
      <c r="Q13" s="16" t="s">
        <v>1057</v>
      </c>
      <c r="R13" s="16" t="s">
        <v>1417</v>
      </c>
      <c r="S13" s="16" t="s">
        <v>5130</v>
      </c>
      <c r="T13" s="16" t="s">
        <v>5131</v>
      </c>
      <c r="U13" s="16" t="s">
        <v>1563</v>
      </c>
      <c r="V13" s="16" t="s">
        <v>5132</v>
      </c>
      <c r="W13" s="30" t="s">
        <v>1564</v>
      </c>
    </row>
    <row r="14" ht="16.5" customHeight="1">
      <c r="A14" s="37" t="s">
        <v>5027</v>
      </c>
      <c r="B14" s="13" t="s">
        <v>429</v>
      </c>
      <c r="C14" s="30" t="s">
        <v>5133</v>
      </c>
      <c r="D14" s="16" t="s">
        <v>5134</v>
      </c>
      <c r="E14" s="13" t="s">
        <v>1033</v>
      </c>
      <c r="F14" s="13" t="s">
        <v>5135</v>
      </c>
      <c r="G14" s="71"/>
      <c r="H14" s="16" t="s">
        <v>5136</v>
      </c>
      <c r="I14" s="16" t="s">
        <v>5137</v>
      </c>
      <c r="J14" s="30" t="s">
        <v>5138</v>
      </c>
      <c r="K14" s="13" t="s">
        <v>5139</v>
      </c>
      <c r="L14" s="16" t="s">
        <v>5140</v>
      </c>
      <c r="M14" s="16" t="s">
        <v>1275</v>
      </c>
      <c r="N14" s="71"/>
      <c r="O14" s="16" t="s">
        <v>791</v>
      </c>
      <c r="P14" s="16" t="s">
        <v>5141</v>
      </c>
      <c r="Q14" s="16" t="s">
        <v>1055</v>
      </c>
      <c r="R14" s="16" t="s">
        <v>1250</v>
      </c>
      <c r="S14" s="16" t="s">
        <v>1299</v>
      </c>
      <c r="T14" s="16" t="s">
        <v>5142</v>
      </c>
      <c r="U14" s="16" t="s">
        <v>1311</v>
      </c>
      <c r="V14" s="16" t="s">
        <v>5143</v>
      </c>
      <c r="W14" s="16" t="s">
        <v>5144</v>
      </c>
    </row>
    <row r="15" ht="16.5" customHeight="1">
      <c r="A15" s="37" t="s">
        <v>5028</v>
      </c>
      <c r="B15" s="16" t="s">
        <v>430</v>
      </c>
      <c r="C15" s="71"/>
      <c r="D15" s="30" t="s">
        <v>5145</v>
      </c>
      <c r="E15" s="16" t="s">
        <v>5146</v>
      </c>
      <c r="F15" s="16" t="s">
        <v>35</v>
      </c>
      <c r="G15" s="30" t="s">
        <v>889</v>
      </c>
      <c r="H15" s="16" t="s">
        <v>937</v>
      </c>
      <c r="I15" s="16" t="s">
        <v>874</v>
      </c>
      <c r="J15" s="16" t="s">
        <v>5147</v>
      </c>
      <c r="K15" s="16" t="s">
        <v>954</v>
      </c>
      <c r="L15" s="16" t="s">
        <v>984</v>
      </c>
      <c r="M15" s="16" t="s">
        <v>5148</v>
      </c>
      <c r="N15" s="16" t="s">
        <v>745</v>
      </c>
      <c r="O15" s="71"/>
      <c r="P15" s="16" t="s">
        <v>999</v>
      </c>
      <c r="Q15" s="16" t="s">
        <v>729</v>
      </c>
      <c r="R15" s="16" t="s">
        <v>777</v>
      </c>
      <c r="S15" s="16" t="s">
        <v>5149</v>
      </c>
      <c r="T15" s="16" t="s">
        <v>5150</v>
      </c>
      <c r="U15" s="16" t="s">
        <v>858</v>
      </c>
      <c r="V15" s="16" t="s">
        <v>5151</v>
      </c>
      <c r="W15" s="16" t="s">
        <v>906</v>
      </c>
    </row>
    <row r="16" ht="16.5" customHeight="1">
      <c r="A16" s="37" t="s">
        <v>5029</v>
      </c>
      <c r="B16" s="13" t="s">
        <v>5152</v>
      </c>
      <c r="C16" s="13" t="s">
        <v>768</v>
      </c>
      <c r="D16" s="16" t="s">
        <v>3494</v>
      </c>
      <c r="E16" s="30" t="s">
        <v>5153</v>
      </c>
      <c r="F16" s="13" t="s">
        <v>5154</v>
      </c>
      <c r="G16" s="68" t="s">
        <v>1242</v>
      </c>
      <c r="H16" s="16" t="s">
        <v>5155</v>
      </c>
      <c r="I16" s="13" t="s">
        <v>5156</v>
      </c>
      <c r="J16" s="30" t="s">
        <v>5157</v>
      </c>
      <c r="K16" s="13" t="s">
        <v>5158</v>
      </c>
      <c r="L16" s="16" t="s">
        <v>5159</v>
      </c>
      <c r="M16" s="16" t="s">
        <v>1568</v>
      </c>
      <c r="N16" s="16" t="s">
        <v>5160</v>
      </c>
      <c r="O16" s="16" t="s">
        <v>805</v>
      </c>
      <c r="P16" s="71"/>
      <c r="Q16" s="16" t="s">
        <v>1056</v>
      </c>
      <c r="R16" s="13" t="s">
        <v>5161</v>
      </c>
      <c r="S16" s="16" t="s">
        <v>5162</v>
      </c>
      <c r="T16" s="16" t="s">
        <v>5163</v>
      </c>
      <c r="U16" s="16" t="s">
        <v>1571</v>
      </c>
      <c r="V16" s="16" t="s">
        <v>5164</v>
      </c>
      <c r="W16" s="71"/>
    </row>
    <row r="17" ht="16.5" customHeight="1">
      <c r="A17" s="37" t="s">
        <v>5030</v>
      </c>
      <c r="B17" s="16" t="s">
        <v>432</v>
      </c>
      <c r="C17" s="16" t="s">
        <v>769</v>
      </c>
      <c r="D17" s="30" t="s">
        <v>5165</v>
      </c>
      <c r="E17" s="71"/>
      <c r="F17" s="16" t="s">
        <v>5166</v>
      </c>
      <c r="G17" s="16" t="s">
        <v>1140</v>
      </c>
      <c r="H17" s="30" t="s">
        <v>1168</v>
      </c>
      <c r="I17" s="16" t="s">
        <v>1128</v>
      </c>
      <c r="J17" s="16" t="s">
        <v>5167</v>
      </c>
      <c r="K17" s="16" t="s">
        <v>1183</v>
      </c>
      <c r="L17" s="16" t="s">
        <v>1211</v>
      </c>
      <c r="M17" s="16" t="s">
        <v>1072</v>
      </c>
      <c r="N17" s="16" t="s">
        <v>1014</v>
      </c>
      <c r="O17" s="16" t="s">
        <v>790</v>
      </c>
      <c r="P17" s="16" t="s">
        <v>1043</v>
      </c>
      <c r="Q17" s="71"/>
      <c r="R17" s="16" t="s">
        <v>1043</v>
      </c>
      <c r="S17" s="13" t="s">
        <v>5168</v>
      </c>
      <c r="T17" s="16" t="s">
        <v>5169</v>
      </c>
      <c r="U17" s="16" t="s">
        <v>1114</v>
      </c>
      <c r="V17" s="30" t="s">
        <v>5170</v>
      </c>
      <c r="W17" s="16" t="s">
        <v>5171</v>
      </c>
    </row>
    <row r="18" ht="16.5" customHeight="1">
      <c r="A18" s="37" t="s">
        <v>5031</v>
      </c>
      <c r="B18" s="13" t="s">
        <v>5172</v>
      </c>
      <c r="C18" s="13" t="s">
        <v>770</v>
      </c>
      <c r="D18" s="16" t="s">
        <v>3492</v>
      </c>
      <c r="E18" s="30" t="s">
        <v>5173</v>
      </c>
      <c r="F18" s="13" t="s">
        <v>5174</v>
      </c>
      <c r="G18" s="16" t="s">
        <v>1243</v>
      </c>
      <c r="H18" s="71"/>
      <c r="I18" s="13" t="s">
        <v>5175</v>
      </c>
      <c r="J18" s="30" t="s">
        <v>5176</v>
      </c>
      <c r="K18" s="16" t="s">
        <v>5177</v>
      </c>
      <c r="L18" s="13" t="s">
        <v>1506</v>
      </c>
      <c r="M18" s="16" t="s">
        <v>1428</v>
      </c>
      <c r="N18" s="16" t="s">
        <v>1261</v>
      </c>
      <c r="O18" s="16" t="s">
        <v>792</v>
      </c>
      <c r="P18" s="13" t="s">
        <v>5178</v>
      </c>
      <c r="Q18" s="16" t="s">
        <v>1056</v>
      </c>
      <c r="R18" s="71"/>
      <c r="S18" s="16" t="s">
        <v>1448</v>
      </c>
      <c r="T18" s="16" t="s">
        <v>5179</v>
      </c>
      <c r="U18" s="16" t="s">
        <v>5180</v>
      </c>
      <c r="V18" s="16" t="s">
        <v>5164</v>
      </c>
      <c r="W18" s="30" t="s">
        <v>5181</v>
      </c>
    </row>
    <row r="19" ht="16.5" customHeight="1">
      <c r="A19" s="37" t="s">
        <v>5032</v>
      </c>
      <c r="B19" s="16" t="s">
        <v>5182</v>
      </c>
      <c r="C19" s="16" t="s">
        <v>771</v>
      </c>
      <c r="D19" s="16" t="s">
        <v>5183</v>
      </c>
      <c r="E19" s="16" t="s">
        <v>5184</v>
      </c>
      <c r="F19" s="16" t="s">
        <v>3527</v>
      </c>
      <c r="G19" s="16" t="s">
        <v>5185</v>
      </c>
      <c r="H19" s="16" t="s">
        <v>1412</v>
      </c>
      <c r="I19" s="16" t="s">
        <v>1572</v>
      </c>
      <c r="J19" s="16" t="s">
        <v>1573</v>
      </c>
      <c r="K19" s="71"/>
      <c r="L19" s="16" t="s">
        <v>1574</v>
      </c>
      <c r="M19" s="16" t="s">
        <v>5186</v>
      </c>
      <c r="N19" s="16" t="s">
        <v>1264</v>
      </c>
      <c r="O19" s="16" t="s">
        <v>5187</v>
      </c>
      <c r="P19" s="16" t="s">
        <v>5188</v>
      </c>
      <c r="Q19" s="30" t="s">
        <v>5189</v>
      </c>
      <c r="R19" s="16" t="s">
        <v>5190</v>
      </c>
      <c r="S19" s="71"/>
      <c r="T19" s="16" t="s">
        <v>5191</v>
      </c>
      <c r="U19" s="30" t="s">
        <v>5192</v>
      </c>
      <c r="V19" s="16" t="s">
        <v>5193</v>
      </c>
      <c r="W19" s="16" t="s">
        <v>1579</v>
      </c>
    </row>
    <row r="20" ht="16.5" customHeight="1">
      <c r="A20" s="37" t="s">
        <v>5033</v>
      </c>
      <c r="B20" s="16" t="s">
        <v>5194</v>
      </c>
      <c r="C20" s="16" t="s">
        <v>5195</v>
      </c>
      <c r="D20" s="16" t="s">
        <v>5196</v>
      </c>
      <c r="E20" s="16" t="s">
        <v>5197</v>
      </c>
      <c r="F20" s="16" t="s">
        <v>40</v>
      </c>
      <c r="G20" s="16" t="s">
        <v>5198</v>
      </c>
      <c r="H20" s="16" t="s">
        <v>5199</v>
      </c>
      <c r="I20" s="16" t="s">
        <v>5200</v>
      </c>
      <c r="J20" s="71"/>
      <c r="K20" s="16" t="s">
        <v>5201</v>
      </c>
      <c r="L20" s="16" t="s">
        <v>5202</v>
      </c>
      <c r="M20" s="16" t="s">
        <v>5203</v>
      </c>
      <c r="N20" s="16" t="s">
        <v>5204</v>
      </c>
      <c r="O20" s="16" t="s">
        <v>5205</v>
      </c>
      <c r="P20" s="16" t="s">
        <v>5206</v>
      </c>
      <c r="Q20" s="16" t="s">
        <v>5207</v>
      </c>
      <c r="R20" s="16" t="s">
        <v>5208</v>
      </c>
      <c r="S20" s="16" t="s">
        <v>5209</v>
      </c>
      <c r="T20" s="71"/>
      <c r="U20" s="16" t="s">
        <v>5210</v>
      </c>
      <c r="V20" s="30" t="s">
        <v>461</v>
      </c>
      <c r="W20" s="16" t="s">
        <v>5211</v>
      </c>
    </row>
    <row r="21" ht="16.5" customHeight="1">
      <c r="A21" s="37" t="s">
        <v>5034</v>
      </c>
      <c r="B21" s="16" t="s">
        <v>436</v>
      </c>
      <c r="C21" s="16" t="s">
        <v>773</v>
      </c>
      <c r="D21" s="16" t="s">
        <v>3498</v>
      </c>
      <c r="E21" s="16" t="s">
        <v>1038</v>
      </c>
      <c r="F21" s="30" t="s">
        <v>42</v>
      </c>
      <c r="G21" s="16" t="s">
        <v>5212</v>
      </c>
      <c r="H21" s="16" t="s">
        <v>1414</v>
      </c>
      <c r="I21" s="16" t="s">
        <v>1588</v>
      </c>
      <c r="J21" s="16" t="s">
        <v>5213</v>
      </c>
      <c r="K21" s="16" t="s">
        <v>5214</v>
      </c>
      <c r="L21" s="71"/>
      <c r="M21" s="16" t="s">
        <v>1591</v>
      </c>
      <c r="N21" s="16" t="s">
        <v>1265</v>
      </c>
      <c r="O21" s="16" t="s">
        <v>796</v>
      </c>
      <c r="P21" s="16" t="s">
        <v>1592</v>
      </c>
      <c r="Q21" s="16" t="s">
        <v>1060</v>
      </c>
      <c r="R21" s="30" t="s">
        <v>5215</v>
      </c>
      <c r="S21" s="13" t="s">
        <v>5216</v>
      </c>
      <c r="T21" s="16" t="s">
        <v>5217</v>
      </c>
      <c r="U21" s="71"/>
      <c r="V21" s="16" t="s">
        <v>463</v>
      </c>
      <c r="W21" s="16" t="s">
        <v>1595</v>
      </c>
    </row>
    <row r="22" ht="16.5" customHeight="1">
      <c r="A22" s="37" t="s">
        <v>5035</v>
      </c>
      <c r="B22" s="71"/>
      <c r="C22" s="16" t="s">
        <v>5218</v>
      </c>
      <c r="D22" s="16" t="s">
        <v>5219</v>
      </c>
      <c r="E22" s="16" t="s">
        <v>621</v>
      </c>
      <c r="F22" s="16" t="s">
        <v>34</v>
      </c>
      <c r="G22" s="16" t="s">
        <v>568</v>
      </c>
      <c r="H22" s="16" t="s">
        <v>639</v>
      </c>
      <c r="I22" s="16" t="s">
        <v>551</v>
      </c>
      <c r="J22" s="16" t="s">
        <v>676</v>
      </c>
      <c r="K22" s="16" t="s">
        <v>658</v>
      </c>
      <c r="L22" s="16" t="s">
        <v>5220</v>
      </c>
      <c r="M22" s="16" t="s">
        <v>5221</v>
      </c>
      <c r="N22" s="16" t="s">
        <v>5222</v>
      </c>
      <c r="O22" s="16" t="s">
        <v>5223</v>
      </c>
      <c r="P22" s="16" t="s">
        <v>5224</v>
      </c>
      <c r="Q22" s="30" t="s">
        <v>387</v>
      </c>
      <c r="R22" s="16" t="s">
        <v>5224</v>
      </c>
      <c r="S22" s="16" t="s">
        <v>5225</v>
      </c>
      <c r="T22" s="16" t="s">
        <v>5226</v>
      </c>
      <c r="U22" s="16" t="s">
        <v>533</v>
      </c>
      <c r="V22" s="71"/>
      <c r="W22" s="16" t="s">
        <v>605</v>
      </c>
    </row>
    <row r="23" ht="16.5" customHeight="1">
      <c r="A23" s="37" t="s">
        <v>5036</v>
      </c>
      <c r="B23" s="16" t="s">
        <v>437</v>
      </c>
      <c r="C23" s="16" t="s">
        <v>646</v>
      </c>
      <c r="D23" s="16" t="s">
        <v>3500</v>
      </c>
      <c r="E23" s="16" t="s">
        <v>1039</v>
      </c>
      <c r="F23" s="30" t="s">
        <v>46</v>
      </c>
      <c r="G23" s="13" t="s">
        <v>5227</v>
      </c>
      <c r="H23" s="16" t="s">
        <v>5228</v>
      </c>
      <c r="I23" s="16" t="s">
        <v>5229</v>
      </c>
      <c r="J23" s="16" t="s">
        <v>5230</v>
      </c>
      <c r="K23" s="16" t="s">
        <v>5231</v>
      </c>
      <c r="L23" s="16" t="s">
        <v>1599</v>
      </c>
      <c r="M23" s="13" t="s">
        <v>1600</v>
      </c>
      <c r="N23" s="16" t="s">
        <v>5232</v>
      </c>
      <c r="O23" s="16" t="s">
        <v>799</v>
      </c>
      <c r="P23" s="71"/>
      <c r="Q23" s="16" t="s">
        <v>5233</v>
      </c>
      <c r="R23" s="30" t="s">
        <v>5234</v>
      </c>
      <c r="S23" s="16" t="s">
        <v>1601</v>
      </c>
      <c r="T23" s="16" t="s">
        <v>5211</v>
      </c>
      <c r="U23" s="16" t="s">
        <v>1603</v>
      </c>
      <c r="V23" s="16" t="s">
        <v>467</v>
      </c>
      <c r="W23" s="71"/>
    </row>
    <row r="24" ht="16.5" customHeight="1">
      <c r="A24" s="1"/>
    </row>
    <row r="25" ht="16.5" customHeight="1">
      <c r="A25" s="1"/>
      <c r="B25" s="16" t="s">
        <v>351</v>
      </c>
      <c r="D25" s="18" t="s">
        <v>5235</v>
      </c>
      <c r="E25" s="18" t="s">
        <v>5236</v>
      </c>
      <c r="F25" s="18" t="s">
        <v>5237</v>
      </c>
      <c r="G25" s="18" t="s">
        <v>5238</v>
      </c>
      <c r="H25" s="18" t="s">
        <v>5239</v>
      </c>
      <c r="I25" s="18" t="s">
        <v>5240</v>
      </c>
      <c r="J25" s="18" t="s">
        <v>5241</v>
      </c>
      <c r="K25" s="18" t="s">
        <v>361</v>
      </c>
      <c r="L25" s="18" t="s">
        <v>362</v>
      </c>
      <c r="M25" s="18" t="s">
        <v>363</v>
      </c>
      <c r="N25" s="18" t="s">
        <v>364</v>
      </c>
    </row>
    <row r="26" ht="16.5" customHeight="1">
      <c r="A26" s="1"/>
      <c r="B26" s="16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440</v>
      </c>
      <c r="D26" s="19">
        <f>COUNTIF(B2:W23,"*[S, R2]*")+COUNTIF(B2:W23,"*[R2, S]*")+COUNTIF(B2:W23,"*[R2, S']*")+COUNTIF(B2:W23,"*[S', R2]*")</f>
        <v>8</v>
      </c>
      <c r="E26" s="19">
        <f>COUNTIF(B2:W23,"*[S, L2]*")+COUNTIF(B2:W23,"*[L2, S]*")+COUNTIF(B2:W23,"*[L2, S']*")+COUNTIF(B2:W23,"*[S', L2]*")</f>
        <v>8</v>
      </c>
      <c r="F26" s="19">
        <f>COUNTIF(B2:W23,"*[E, L2]*")+COUNTIF(B2:W23,"*[L2, E]*")+COUNTIF(B2:W23,"*[L2, E']*")+COUNTIF(B2:W23,"*[E', L2]*")</f>
        <v>28</v>
      </c>
      <c r="G26" s="19">
        <f>COUNTIF(B2:W23,"*[E, R2]*")+COUNTIF(B2:W23,"*[R2, E]*")+COUNTIF(B2:W23,"*[R2, E']*")+COUNTIF(B2:W23,"*[E', R2]*")</f>
        <v>38</v>
      </c>
      <c r="H26" s="19">
        <f>COUNTIF(B2:W23,"*[M, U2]*")+COUNTIF(B2:W23,"*[U2, M]*")+COUNTIF(B2:W23,"*[U2, M']*")+COUNTIF(B2:W23,"*[M', U2]*")</f>
        <v>38</v>
      </c>
      <c r="I26" s="19">
        <f>COUNTIF(B2:W23,"*[M, D2]*")+COUNTIF(B2:W23,"*[D2, M]*")+COUNTIF(B2:W23,"*[D2, M']*")+COUNTIF(B2:W23,"*[M', D2]*")</f>
        <v>4</v>
      </c>
      <c r="J26" s="19">
        <f>COUNTIF(B2:W23,"*M u2 M u2*")+COUNTIF(B2:W23,"*u2 M' u2 M'*")+COUNTIF(B2:W23,"*M' u2 M' u2*")+COUNTIF(B2:W23,"*u2 M u2 M*")</f>
        <v>28</v>
      </c>
      <c r="K26" s="19">
        <f>COUNTIF(B2:W23,"*S*")</f>
        <v>140</v>
      </c>
      <c r="L26" s="19">
        <f>COUNTIF(B2:W23,"*E*")</f>
        <v>130</v>
      </c>
      <c r="M26" s="19">
        <f>COUNTIF(B2:W23,"*M*")</f>
        <v>254</v>
      </c>
      <c r="N26" s="19">
        <f>K26+L26+M26-440</f>
        <v>84</v>
      </c>
    </row>
    <row r="27" ht="16.5" customHeight="1">
      <c r="A27" s="1"/>
      <c r="D27" s="20">
        <f t="shared" ref="D27:N27" si="1">D26/440</f>
        <v>0.01818181818</v>
      </c>
      <c r="E27" s="20">
        <f t="shared" si="1"/>
        <v>0.01818181818</v>
      </c>
      <c r="F27" s="20">
        <f t="shared" si="1"/>
        <v>0.06363636364</v>
      </c>
      <c r="G27" s="79">
        <f t="shared" si="1"/>
        <v>0.08636363636</v>
      </c>
      <c r="H27" s="20">
        <f t="shared" si="1"/>
        <v>0.08636363636</v>
      </c>
      <c r="I27" s="20">
        <f t="shared" si="1"/>
        <v>0.009090909091</v>
      </c>
      <c r="J27" s="20">
        <f t="shared" si="1"/>
        <v>0.06363636364</v>
      </c>
      <c r="K27" s="20">
        <f t="shared" si="1"/>
        <v>0.3181818182</v>
      </c>
      <c r="L27" s="20">
        <f t="shared" si="1"/>
        <v>0.2954545455</v>
      </c>
      <c r="M27" s="20">
        <f t="shared" si="1"/>
        <v>0.5772727273</v>
      </c>
      <c r="N27" s="20">
        <f t="shared" si="1"/>
        <v>0.1909090909</v>
      </c>
    </row>
    <row r="28" ht="16.5" customHeight="1">
      <c r="A28" s="1"/>
    </row>
    <row r="29" ht="16.5" customHeight="1">
      <c r="A29" s="1"/>
      <c r="B29" s="80" t="s">
        <v>5242</v>
      </c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1" t="s">
        <v>5243</v>
      </c>
      <c r="C1" s="1" t="s">
        <v>5244</v>
      </c>
      <c r="D1" s="1" t="s">
        <v>5245</v>
      </c>
      <c r="E1" s="1" t="s">
        <v>5246</v>
      </c>
      <c r="F1" s="1" t="s">
        <v>5247</v>
      </c>
      <c r="G1" s="1" t="s">
        <v>5248</v>
      </c>
      <c r="H1" s="1" t="s">
        <v>5249</v>
      </c>
      <c r="I1" s="1" t="s">
        <v>5250</v>
      </c>
      <c r="J1" s="1" t="s">
        <v>5251</v>
      </c>
      <c r="K1" s="1" t="s">
        <v>5252</v>
      </c>
      <c r="L1" s="1" t="s">
        <v>5253</v>
      </c>
      <c r="M1" s="2" t="s">
        <v>5254</v>
      </c>
      <c r="N1" s="1" t="s">
        <v>5255</v>
      </c>
      <c r="O1" s="1" t="s">
        <v>5256</v>
      </c>
      <c r="P1" s="1" t="s">
        <v>5257</v>
      </c>
      <c r="Q1" s="1" t="s">
        <v>5258</v>
      </c>
      <c r="R1" s="1" t="s">
        <v>5259</v>
      </c>
      <c r="S1" s="1" t="s">
        <v>5260</v>
      </c>
      <c r="T1" s="1" t="s">
        <v>5261</v>
      </c>
      <c r="U1" s="1" t="s">
        <v>5262</v>
      </c>
      <c r="V1" s="1" t="s">
        <v>5263</v>
      </c>
      <c r="W1" s="1" t="s">
        <v>5264</v>
      </c>
      <c r="X1" s="2" t="s">
        <v>5265</v>
      </c>
      <c r="Y1" s="1"/>
      <c r="Z1" s="1"/>
    </row>
    <row r="2" ht="16.5" customHeight="1">
      <c r="A2" s="2" t="s">
        <v>5243</v>
      </c>
      <c r="B2" s="4"/>
      <c r="C2" t="s">
        <v>5266</v>
      </c>
      <c r="D2" s="8" t="s">
        <v>5267</v>
      </c>
      <c r="E2" s="8" t="s">
        <v>5268</v>
      </c>
      <c r="F2" s="8" t="s">
        <v>5269</v>
      </c>
      <c r="G2" t="s">
        <v>5270</v>
      </c>
      <c r="H2" t="s">
        <v>5271</v>
      </c>
      <c r="I2" t="s">
        <v>5272</v>
      </c>
      <c r="J2" t="s">
        <v>5273</v>
      </c>
      <c r="K2" t="s">
        <v>5274</v>
      </c>
      <c r="L2" t="s">
        <v>5275</v>
      </c>
      <c r="M2" s="8" t="s">
        <v>5276</v>
      </c>
      <c r="N2" s="8" t="s">
        <v>5277</v>
      </c>
      <c r="O2" s="8" t="s">
        <v>5278</v>
      </c>
      <c r="P2" t="s">
        <v>5279</v>
      </c>
      <c r="Q2" s="8" t="s">
        <v>5280</v>
      </c>
      <c r="R2" s="8" t="s">
        <v>5281</v>
      </c>
      <c r="S2" s="8" t="s">
        <v>5282</v>
      </c>
      <c r="T2" s="8" t="s">
        <v>5283</v>
      </c>
      <c r="U2" s="8" t="s">
        <v>5284</v>
      </c>
      <c r="V2" t="s">
        <v>5285</v>
      </c>
      <c r="W2" t="s">
        <v>5286</v>
      </c>
      <c r="X2" t="s">
        <v>5287</v>
      </c>
    </row>
    <row r="3" ht="16.5" customHeight="1">
      <c r="A3" s="1" t="s">
        <v>5288</v>
      </c>
      <c r="B3" t="s">
        <v>5289</v>
      </c>
      <c r="C3" s="4"/>
      <c r="D3" t="s">
        <v>3009</v>
      </c>
      <c r="E3" t="s">
        <v>5290</v>
      </c>
      <c r="F3" t="s">
        <v>5291</v>
      </c>
      <c r="G3" t="s">
        <v>5292</v>
      </c>
      <c r="H3" t="s">
        <v>5293</v>
      </c>
      <c r="I3" s="8" t="s">
        <v>5294</v>
      </c>
      <c r="J3" t="s">
        <v>5295</v>
      </c>
      <c r="K3" t="s">
        <v>5296</v>
      </c>
      <c r="L3" t="s">
        <v>5297</v>
      </c>
      <c r="M3" s="8" t="s">
        <v>5276</v>
      </c>
      <c r="N3" t="s">
        <v>5298</v>
      </c>
      <c r="O3" t="s">
        <v>5299</v>
      </c>
      <c r="P3" s="8" t="s">
        <v>5300</v>
      </c>
      <c r="Q3" t="s">
        <v>5301</v>
      </c>
      <c r="R3" t="s">
        <v>5302</v>
      </c>
      <c r="S3" s="8" t="s">
        <v>5303</v>
      </c>
      <c r="T3" t="s">
        <v>5304</v>
      </c>
      <c r="U3" t="s">
        <v>5305</v>
      </c>
      <c r="V3" t="s">
        <v>5306</v>
      </c>
      <c r="W3" s="8" t="s">
        <v>5307</v>
      </c>
      <c r="X3" t="s">
        <v>5308</v>
      </c>
    </row>
    <row r="4" ht="16.5" customHeight="1">
      <c r="A4" s="1" t="s">
        <v>5245</v>
      </c>
      <c r="B4" s="8" t="s">
        <v>5309</v>
      </c>
      <c r="C4" t="s">
        <v>2925</v>
      </c>
      <c r="D4" s="4"/>
      <c r="E4" t="s">
        <v>2947</v>
      </c>
      <c r="F4" s="8" t="s">
        <v>5310</v>
      </c>
      <c r="G4" t="s">
        <v>2991</v>
      </c>
      <c r="H4" t="s">
        <v>3035</v>
      </c>
      <c r="I4" s="8" t="s">
        <v>3057</v>
      </c>
      <c r="J4" t="s">
        <v>3079</v>
      </c>
      <c r="K4" t="s">
        <v>5311</v>
      </c>
      <c r="L4" t="s">
        <v>5312</v>
      </c>
      <c r="M4" t="s">
        <v>3145</v>
      </c>
      <c r="N4" s="8" t="s">
        <v>3167</v>
      </c>
      <c r="O4" t="s">
        <v>3189</v>
      </c>
      <c r="P4" s="8" t="s">
        <v>5313</v>
      </c>
      <c r="Q4" t="s">
        <v>3233</v>
      </c>
      <c r="R4" s="8" t="s">
        <v>5314</v>
      </c>
      <c r="S4" t="s">
        <v>3276</v>
      </c>
      <c r="T4" s="8" t="s">
        <v>3298</v>
      </c>
      <c r="U4" t="s">
        <v>3319</v>
      </c>
      <c r="V4" t="s">
        <v>3341</v>
      </c>
      <c r="W4" t="s">
        <v>3362</v>
      </c>
      <c r="X4" t="s">
        <v>3384</v>
      </c>
    </row>
    <row r="5" ht="16.5" customHeight="1">
      <c r="A5" s="1" t="s">
        <v>5246</v>
      </c>
      <c r="B5" s="8" t="s">
        <v>5315</v>
      </c>
      <c r="C5" t="s">
        <v>5316</v>
      </c>
      <c r="D5" t="s">
        <v>3010</v>
      </c>
      <c r="E5" s="4"/>
      <c r="F5" s="8" t="s">
        <v>5317</v>
      </c>
      <c r="G5" t="s">
        <v>5318</v>
      </c>
      <c r="H5" t="s">
        <v>5319</v>
      </c>
      <c r="I5" s="8" t="s">
        <v>5320</v>
      </c>
      <c r="J5" t="s">
        <v>5321</v>
      </c>
      <c r="K5" t="s">
        <v>5322</v>
      </c>
      <c r="L5" t="s">
        <v>5323</v>
      </c>
      <c r="M5" t="s">
        <v>5324</v>
      </c>
      <c r="N5" t="s">
        <v>5325</v>
      </c>
      <c r="O5" t="s">
        <v>5326</v>
      </c>
      <c r="P5" t="s">
        <v>5327</v>
      </c>
      <c r="Q5" t="s">
        <v>5328</v>
      </c>
      <c r="R5" t="s">
        <v>5329</v>
      </c>
      <c r="S5" s="8" t="s">
        <v>5330</v>
      </c>
      <c r="T5" t="s">
        <v>5331</v>
      </c>
      <c r="U5" t="s">
        <v>5332</v>
      </c>
      <c r="V5" t="s">
        <v>5333</v>
      </c>
      <c r="W5" s="8" t="s">
        <v>5334</v>
      </c>
      <c r="X5" t="s">
        <v>5335</v>
      </c>
    </row>
    <row r="6" ht="16.5" customHeight="1">
      <c r="A6" s="1" t="s">
        <v>5247</v>
      </c>
      <c r="B6" s="8" t="s">
        <v>5336</v>
      </c>
      <c r="C6" t="s">
        <v>5337</v>
      </c>
      <c r="D6" s="8" t="s">
        <v>5338</v>
      </c>
      <c r="E6" s="8" t="s">
        <v>5339</v>
      </c>
      <c r="F6" s="4"/>
      <c r="G6" t="s">
        <v>5340</v>
      </c>
      <c r="H6" s="8" t="s">
        <v>5341</v>
      </c>
      <c r="I6" s="8" t="s">
        <v>5342</v>
      </c>
      <c r="J6" s="8" t="s">
        <v>5343</v>
      </c>
      <c r="K6" s="8" t="s">
        <v>5344</v>
      </c>
      <c r="L6" s="8" t="s">
        <v>5345</v>
      </c>
      <c r="M6" s="8" t="s">
        <v>5346</v>
      </c>
      <c r="N6" s="8" t="s">
        <v>5347</v>
      </c>
      <c r="O6" s="8" t="s">
        <v>5348</v>
      </c>
      <c r="P6" t="s">
        <v>5349</v>
      </c>
      <c r="Q6" s="8" t="s">
        <v>5350</v>
      </c>
      <c r="R6" t="s">
        <v>5351</v>
      </c>
      <c r="S6" s="8" t="s">
        <v>5352</v>
      </c>
      <c r="T6" s="8" t="s">
        <v>5353</v>
      </c>
      <c r="U6" s="8" t="s">
        <v>5354</v>
      </c>
      <c r="V6" t="s">
        <v>5355</v>
      </c>
      <c r="W6" s="8" t="s">
        <v>5356</v>
      </c>
      <c r="X6" s="8" t="s">
        <v>5357</v>
      </c>
    </row>
    <row r="7" ht="16.5" customHeight="1">
      <c r="A7" s="1" t="s">
        <v>5248</v>
      </c>
      <c r="B7" t="s">
        <v>5358</v>
      </c>
      <c r="C7" t="s">
        <v>5359</v>
      </c>
      <c r="D7" t="s">
        <v>3012</v>
      </c>
      <c r="E7" t="s">
        <v>5360</v>
      </c>
      <c r="F7" t="s">
        <v>5361</v>
      </c>
      <c r="G7" s="4"/>
      <c r="H7" t="s">
        <v>5362</v>
      </c>
      <c r="I7" t="s">
        <v>5363</v>
      </c>
      <c r="J7" t="s">
        <v>5364</v>
      </c>
      <c r="K7" t="s">
        <v>5365</v>
      </c>
      <c r="L7" s="8" t="s">
        <v>5366</v>
      </c>
      <c r="M7" t="s">
        <v>5367</v>
      </c>
      <c r="N7" s="8" t="s">
        <v>5368</v>
      </c>
      <c r="O7" t="s">
        <v>5369</v>
      </c>
      <c r="P7" t="s">
        <v>5370</v>
      </c>
      <c r="Q7" s="8" t="s">
        <v>5371</v>
      </c>
      <c r="R7" t="s">
        <v>5372</v>
      </c>
      <c r="S7" s="8" t="s">
        <v>5373</v>
      </c>
      <c r="T7" s="8" t="s">
        <v>5374</v>
      </c>
      <c r="U7" t="s">
        <v>5375</v>
      </c>
      <c r="V7" t="s">
        <v>5376</v>
      </c>
      <c r="W7" t="s">
        <v>5377</v>
      </c>
      <c r="X7" s="8" t="s">
        <v>5378</v>
      </c>
    </row>
    <row r="8" ht="16.5" customHeight="1">
      <c r="A8" s="1" t="s">
        <v>5249</v>
      </c>
      <c r="B8" t="s">
        <v>5379</v>
      </c>
      <c r="C8" t="s">
        <v>5380</v>
      </c>
      <c r="D8" t="s">
        <v>3013</v>
      </c>
      <c r="E8" t="s">
        <v>5381</v>
      </c>
      <c r="F8" s="8" t="s">
        <v>5382</v>
      </c>
      <c r="G8" t="s">
        <v>5383</v>
      </c>
      <c r="H8" s="4"/>
      <c r="I8" t="s">
        <v>5384</v>
      </c>
      <c r="J8" s="8" t="s">
        <v>5385</v>
      </c>
      <c r="K8" t="s">
        <v>5386</v>
      </c>
      <c r="L8" t="s">
        <v>5387</v>
      </c>
      <c r="M8" s="8" t="s">
        <v>5388</v>
      </c>
      <c r="N8" s="8" t="s">
        <v>5389</v>
      </c>
      <c r="O8" s="8" t="s">
        <v>5390</v>
      </c>
      <c r="P8" s="8" t="s">
        <v>5391</v>
      </c>
      <c r="Q8" s="8" t="s">
        <v>5392</v>
      </c>
      <c r="R8" s="8" t="s">
        <v>5393</v>
      </c>
      <c r="S8" t="s">
        <v>5394</v>
      </c>
      <c r="T8" s="8" t="s">
        <v>5395</v>
      </c>
      <c r="U8" t="s">
        <v>5396</v>
      </c>
      <c r="V8" s="8" t="s">
        <v>5397</v>
      </c>
      <c r="W8" t="s">
        <v>5398</v>
      </c>
      <c r="X8" t="s">
        <v>5399</v>
      </c>
    </row>
    <row r="9" ht="16.5" customHeight="1">
      <c r="A9" s="1" t="s">
        <v>5250</v>
      </c>
      <c r="B9" t="s">
        <v>5400</v>
      </c>
      <c r="C9" s="8" t="s">
        <v>5401</v>
      </c>
      <c r="D9" s="8" t="s">
        <v>3014</v>
      </c>
      <c r="E9" s="8" t="s">
        <v>5402</v>
      </c>
      <c r="F9" s="8" t="s">
        <v>5403</v>
      </c>
      <c r="G9" t="s">
        <v>5404</v>
      </c>
      <c r="H9" t="s">
        <v>5405</v>
      </c>
      <c r="I9" s="4"/>
      <c r="J9" t="s">
        <v>5406</v>
      </c>
      <c r="K9" t="s">
        <v>5407</v>
      </c>
      <c r="L9" t="s">
        <v>5408</v>
      </c>
      <c r="M9" t="s">
        <v>5409</v>
      </c>
      <c r="N9" t="s">
        <v>5410</v>
      </c>
      <c r="O9" t="s">
        <v>5411</v>
      </c>
      <c r="P9" t="s">
        <v>5412</v>
      </c>
      <c r="Q9" t="s">
        <v>5413</v>
      </c>
      <c r="R9" t="s">
        <v>5414</v>
      </c>
      <c r="S9" t="s">
        <v>5415</v>
      </c>
      <c r="T9" t="s">
        <v>5416</v>
      </c>
      <c r="U9" t="s">
        <v>5417</v>
      </c>
      <c r="V9" t="s">
        <v>5418</v>
      </c>
      <c r="W9" t="s">
        <v>5419</v>
      </c>
      <c r="X9" t="s">
        <v>5420</v>
      </c>
    </row>
    <row r="10" ht="16.5" customHeight="1">
      <c r="A10" s="1" t="s">
        <v>5251</v>
      </c>
      <c r="B10" t="s">
        <v>5421</v>
      </c>
      <c r="C10" t="s">
        <v>5422</v>
      </c>
      <c r="D10" t="s">
        <v>3015</v>
      </c>
      <c r="E10" t="s">
        <v>5423</v>
      </c>
      <c r="F10" s="8" t="s">
        <v>5424</v>
      </c>
      <c r="G10" t="s">
        <v>5425</v>
      </c>
      <c r="H10" s="8" t="s">
        <v>5426</v>
      </c>
      <c r="I10" t="s">
        <v>5427</v>
      </c>
      <c r="J10" s="4"/>
      <c r="K10" t="s">
        <v>5428</v>
      </c>
      <c r="L10" t="s">
        <v>5429</v>
      </c>
      <c r="M10" t="s">
        <v>5430</v>
      </c>
      <c r="N10" t="s">
        <v>5431</v>
      </c>
      <c r="O10" t="s">
        <v>5432</v>
      </c>
      <c r="P10" t="s">
        <v>5433</v>
      </c>
      <c r="Q10" t="s">
        <v>5434</v>
      </c>
      <c r="R10" t="s">
        <v>5435</v>
      </c>
      <c r="S10" t="s">
        <v>5436</v>
      </c>
      <c r="T10" t="s">
        <v>5437</v>
      </c>
      <c r="U10" t="s">
        <v>5438</v>
      </c>
      <c r="V10" t="s">
        <v>5439</v>
      </c>
      <c r="W10" t="s">
        <v>5440</v>
      </c>
      <c r="X10" s="8" t="s">
        <v>5441</v>
      </c>
    </row>
    <row r="11" ht="16.5" customHeight="1">
      <c r="A11" s="1" t="s">
        <v>5252</v>
      </c>
      <c r="B11" t="s">
        <v>5442</v>
      </c>
      <c r="C11" t="s">
        <v>5443</v>
      </c>
      <c r="D11" t="s">
        <v>5444</v>
      </c>
      <c r="E11" t="s">
        <v>5445</v>
      </c>
      <c r="F11" s="8" t="s">
        <v>5446</v>
      </c>
      <c r="G11" t="s">
        <v>5447</v>
      </c>
      <c r="H11" t="s">
        <v>5448</v>
      </c>
      <c r="I11" t="s">
        <v>5449</v>
      </c>
      <c r="J11" t="s">
        <v>5450</v>
      </c>
      <c r="K11" s="4"/>
      <c r="L11" t="s">
        <v>5451</v>
      </c>
      <c r="M11" t="s">
        <v>5452</v>
      </c>
      <c r="N11" t="s">
        <v>5453</v>
      </c>
      <c r="O11" t="s">
        <v>5454</v>
      </c>
      <c r="P11" t="s">
        <v>5455</v>
      </c>
      <c r="Q11" t="s">
        <v>5456</v>
      </c>
      <c r="R11" t="s">
        <v>5457</v>
      </c>
      <c r="S11" t="s">
        <v>5458</v>
      </c>
      <c r="T11" t="s">
        <v>5459</v>
      </c>
      <c r="U11" t="s">
        <v>5460</v>
      </c>
      <c r="V11" t="s">
        <v>5461</v>
      </c>
      <c r="W11" s="8" t="s">
        <v>5462</v>
      </c>
      <c r="X11" t="s">
        <v>5463</v>
      </c>
    </row>
    <row r="12" ht="16.5" customHeight="1">
      <c r="A12" s="1" t="s">
        <v>5253</v>
      </c>
      <c r="B12" t="s">
        <v>5464</v>
      </c>
      <c r="C12" t="s">
        <v>5465</v>
      </c>
      <c r="D12" t="s">
        <v>5466</v>
      </c>
      <c r="E12" t="s">
        <v>5467</v>
      </c>
      <c r="F12" s="8" t="s">
        <v>5468</v>
      </c>
      <c r="G12" s="8" t="s">
        <v>5469</v>
      </c>
      <c r="H12" t="s">
        <v>5470</v>
      </c>
      <c r="I12" t="s">
        <v>5471</v>
      </c>
      <c r="J12" t="s">
        <v>5472</v>
      </c>
      <c r="K12" t="s">
        <v>5473</v>
      </c>
      <c r="L12" s="4"/>
      <c r="M12" t="s">
        <v>5474</v>
      </c>
      <c r="N12" t="s">
        <v>5475</v>
      </c>
      <c r="O12" t="s">
        <v>5476</v>
      </c>
      <c r="P12" t="s">
        <v>5477</v>
      </c>
      <c r="Q12" t="s">
        <v>5478</v>
      </c>
      <c r="R12" t="s">
        <v>5479</v>
      </c>
      <c r="S12" t="s">
        <v>5480</v>
      </c>
      <c r="T12" s="8" t="s">
        <v>5481</v>
      </c>
      <c r="U12" t="s">
        <v>5482</v>
      </c>
      <c r="V12" t="s">
        <v>5483</v>
      </c>
      <c r="W12" t="s">
        <v>5484</v>
      </c>
      <c r="X12" t="s">
        <v>5485</v>
      </c>
    </row>
    <row r="13" ht="16.5" customHeight="1">
      <c r="A13" s="2" t="s">
        <v>5254</v>
      </c>
      <c r="B13" s="8" t="s">
        <v>5486</v>
      </c>
      <c r="C13" s="8" t="s">
        <v>5486</v>
      </c>
      <c r="D13" t="s">
        <v>3018</v>
      </c>
      <c r="E13" t="s">
        <v>5487</v>
      </c>
      <c r="F13" s="8" t="s">
        <v>5488</v>
      </c>
      <c r="G13" t="s">
        <v>5489</v>
      </c>
      <c r="H13" s="8" t="s">
        <v>5490</v>
      </c>
      <c r="I13" t="s">
        <v>5491</v>
      </c>
      <c r="J13" t="s">
        <v>5492</v>
      </c>
      <c r="K13" t="s">
        <v>5493</v>
      </c>
      <c r="L13" t="s">
        <v>5494</v>
      </c>
      <c r="M13" s="4"/>
      <c r="N13" t="s">
        <v>5495</v>
      </c>
      <c r="O13" t="s">
        <v>5496</v>
      </c>
      <c r="P13" t="s">
        <v>5497</v>
      </c>
      <c r="Q13" t="s">
        <v>5498</v>
      </c>
      <c r="R13" t="s">
        <v>5499</v>
      </c>
      <c r="S13" s="8" t="s">
        <v>5500</v>
      </c>
      <c r="T13" s="8" t="s">
        <v>5481</v>
      </c>
      <c r="U13" t="s">
        <v>5501</v>
      </c>
      <c r="V13" t="s">
        <v>5430</v>
      </c>
      <c r="W13" t="s">
        <v>5502</v>
      </c>
      <c r="X13" s="8" t="s">
        <v>5503</v>
      </c>
    </row>
    <row r="14" ht="16.5" customHeight="1">
      <c r="A14" s="1" t="s">
        <v>5255</v>
      </c>
      <c r="B14" s="8" t="s">
        <v>5504</v>
      </c>
      <c r="C14" t="s">
        <v>5505</v>
      </c>
      <c r="D14" s="8" t="s">
        <v>3019</v>
      </c>
      <c r="E14" t="s">
        <v>5506</v>
      </c>
      <c r="F14" s="8" t="s">
        <v>5507</v>
      </c>
      <c r="G14" s="8" t="s">
        <v>5508</v>
      </c>
      <c r="H14" s="8" t="s">
        <v>5509</v>
      </c>
      <c r="I14" t="s">
        <v>5510</v>
      </c>
      <c r="J14" t="s">
        <v>5511</v>
      </c>
      <c r="K14" t="s">
        <v>5512</v>
      </c>
      <c r="L14" t="s">
        <v>5513</v>
      </c>
      <c r="M14" t="s">
        <v>5514</v>
      </c>
      <c r="N14" s="4"/>
      <c r="O14" t="s">
        <v>5514</v>
      </c>
      <c r="P14" t="s">
        <v>5515</v>
      </c>
      <c r="Q14" s="8" t="s">
        <v>5516</v>
      </c>
      <c r="R14" t="s">
        <v>5517</v>
      </c>
      <c r="S14" t="s">
        <v>5518</v>
      </c>
      <c r="T14" t="s">
        <v>5519</v>
      </c>
      <c r="U14" s="13" t="s">
        <v>5520</v>
      </c>
      <c r="V14" t="s">
        <v>5521</v>
      </c>
      <c r="W14" t="s">
        <v>5522</v>
      </c>
      <c r="X14" s="8" t="s">
        <v>5523</v>
      </c>
    </row>
    <row r="15" ht="16.5" customHeight="1">
      <c r="A15" s="1" t="s">
        <v>5256</v>
      </c>
      <c r="B15" s="13" t="s">
        <v>5524</v>
      </c>
      <c r="C15" t="s">
        <v>5525</v>
      </c>
      <c r="D15" t="s">
        <v>3020</v>
      </c>
      <c r="E15" t="s">
        <v>5526</v>
      </c>
      <c r="F15" s="8" t="s">
        <v>5527</v>
      </c>
      <c r="G15" t="s">
        <v>5528</v>
      </c>
      <c r="H15" s="13" t="s">
        <v>5529</v>
      </c>
      <c r="I15" t="s">
        <v>5530</v>
      </c>
      <c r="J15" t="s">
        <v>5531</v>
      </c>
      <c r="K15" t="s">
        <v>5532</v>
      </c>
      <c r="L15" t="s">
        <v>5533</v>
      </c>
      <c r="M15" t="s">
        <v>5534</v>
      </c>
      <c r="N15" t="s">
        <v>5495</v>
      </c>
      <c r="O15" s="4"/>
      <c r="P15" t="s">
        <v>5497</v>
      </c>
      <c r="Q15" s="8" t="s">
        <v>5535</v>
      </c>
      <c r="R15" t="s">
        <v>5536</v>
      </c>
      <c r="S15" s="8" t="s">
        <v>5537</v>
      </c>
      <c r="T15" t="s">
        <v>5538</v>
      </c>
      <c r="U15" t="s">
        <v>5539</v>
      </c>
      <c r="V15" t="s">
        <v>5540</v>
      </c>
      <c r="W15" t="s">
        <v>5541</v>
      </c>
      <c r="X15" t="s">
        <v>5542</v>
      </c>
    </row>
    <row r="16" ht="16.5" customHeight="1">
      <c r="A16" s="1" t="s">
        <v>5257</v>
      </c>
      <c r="B16" t="s">
        <v>5543</v>
      </c>
      <c r="C16" s="8" t="s">
        <v>5544</v>
      </c>
      <c r="D16" s="8" t="s">
        <v>5545</v>
      </c>
      <c r="E16" t="s">
        <v>5546</v>
      </c>
      <c r="F16" t="s">
        <v>5547</v>
      </c>
      <c r="G16" t="s">
        <v>5548</v>
      </c>
      <c r="H16" s="8" t="s">
        <v>5549</v>
      </c>
      <c r="I16" t="s">
        <v>5550</v>
      </c>
      <c r="J16" t="s">
        <v>5551</v>
      </c>
      <c r="K16" t="s">
        <v>5552</v>
      </c>
      <c r="L16" t="s">
        <v>5553</v>
      </c>
      <c r="M16" t="s">
        <v>5554</v>
      </c>
      <c r="N16" t="s">
        <v>5555</v>
      </c>
      <c r="O16" t="s">
        <v>5554</v>
      </c>
      <c r="P16" s="4"/>
      <c r="Q16" t="s">
        <v>5556</v>
      </c>
      <c r="R16" t="s">
        <v>5557</v>
      </c>
      <c r="S16" t="s">
        <v>5558</v>
      </c>
      <c r="T16" t="s">
        <v>5559</v>
      </c>
      <c r="U16" t="s">
        <v>5560</v>
      </c>
      <c r="V16" t="s">
        <v>5561</v>
      </c>
      <c r="W16" t="s">
        <v>5562</v>
      </c>
      <c r="X16" s="13" t="s">
        <v>5563</v>
      </c>
    </row>
    <row r="17" ht="16.5" customHeight="1">
      <c r="A17" s="1" t="s">
        <v>5258</v>
      </c>
      <c r="B17" s="8" t="s">
        <v>5564</v>
      </c>
      <c r="C17" t="s">
        <v>5565</v>
      </c>
      <c r="D17" t="s">
        <v>3022</v>
      </c>
      <c r="E17" t="s">
        <v>5566</v>
      </c>
      <c r="F17" s="8" t="s">
        <v>5567</v>
      </c>
      <c r="G17" s="8" t="s">
        <v>5568</v>
      </c>
      <c r="H17" s="8" t="s">
        <v>5569</v>
      </c>
      <c r="I17" t="s">
        <v>5570</v>
      </c>
      <c r="J17" t="s">
        <v>5571</v>
      </c>
      <c r="K17" t="s">
        <v>5572</v>
      </c>
      <c r="L17" t="s">
        <v>5573</v>
      </c>
      <c r="M17" t="s">
        <v>5574</v>
      </c>
      <c r="N17" s="8" t="s">
        <v>5575</v>
      </c>
      <c r="O17" s="8" t="s">
        <v>5576</v>
      </c>
      <c r="P17" t="s">
        <v>5577</v>
      </c>
      <c r="Q17" s="4"/>
      <c r="R17" t="s">
        <v>5578</v>
      </c>
      <c r="S17" t="s">
        <v>5579</v>
      </c>
      <c r="T17" t="s">
        <v>5580</v>
      </c>
      <c r="U17" t="s">
        <v>5581</v>
      </c>
      <c r="V17" t="s">
        <v>5582</v>
      </c>
      <c r="W17" t="s">
        <v>5583</v>
      </c>
      <c r="X17" t="s">
        <v>5584</v>
      </c>
    </row>
    <row r="18" ht="16.5" customHeight="1">
      <c r="A18" s="1" t="s">
        <v>5259</v>
      </c>
      <c r="B18" s="8" t="s">
        <v>5585</v>
      </c>
      <c r="C18" t="s">
        <v>5586</v>
      </c>
      <c r="D18" s="8" t="s">
        <v>5587</v>
      </c>
      <c r="E18" t="s">
        <v>5588</v>
      </c>
      <c r="F18" t="s">
        <v>5589</v>
      </c>
      <c r="G18" t="s">
        <v>5590</v>
      </c>
      <c r="H18" s="8" t="s">
        <v>5591</v>
      </c>
      <c r="I18" t="s">
        <v>5592</v>
      </c>
      <c r="J18" t="s">
        <v>5593</v>
      </c>
      <c r="K18" t="s">
        <v>5594</v>
      </c>
      <c r="L18" t="s">
        <v>5595</v>
      </c>
      <c r="M18" t="s">
        <v>5596</v>
      </c>
      <c r="N18" t="s">
        <v>5597</v>
      </c>
      <c r="O18" t="s">
        <v>5598</v>
      </c>
      <c r="P18" t="s">
        <v>5599</v>
      </c>
      <c r="Q18" t="s">
        <v>5600</v>
      </c>
      <c r="R18" s="4"/>
      <c r="S18" t="s">
        <v>5601</v>
      </c>
      <c r="T18" t="s">
        <v>5602</v>
      </c>
      <c r="U18" t="s">
        <v>5603</v>
      </c>
      <c r="V18" t="s">
        <v>5604</v>
      </c>
      <c r="W18" t="s">
        <v>5605</v>
      </c>
      <c r="X18" t="s">
        <v>5548</v>
      </c>
    </row>
    <row r="19" ht="16.5" customHeight="1">
      <c r="A19" s="1" t="s">
        <v>5260</v>
      </c>
      <c r="B19" s="8" t="s">
        <v>5606</v>
      </c>
      <c r="C19" s="8" t="s">
        <v>5607</v>
      </c>
      <c r="D19" t="s">
        <v>3024</v>
      </c>
      <c r="E19" s="8" t="s">
        <v>5608</v>
      </c>
      <c r="F19" s="8" t="s">
        <v>5609</v>
      </c>
      <c r="G19" s="13" t="s">
        <v>5610</v>
      </c>
      <c r="H19" t="s">
        <v>5611</v>
      </c>
      <c r="I19" t="s">
        <v>5612</v>
      </c>
      <c r="J19" t="s">
        <v>5613</v>
      </c>
      <c r="K19" t="s">
        <v>5614</v>
      </c>
      <c r="L19" t="s">
        <v>5615</v>
      </c>
      <c r="M19" s="8" t="s">
        <v>5616</v>
      </c>
      <c r="N19" t="s">
        <v>5617</v>
      </c>
      <c r="O19" s="8" t="s">
        <v>5618</v>
      </c>
      <c r="P19" t="s">
        <v>5619</v>
      </c>
      <c r="Q19" t="s">
        <v>5620</v>
      </c>
      <c r="R19" t="s">
        <v>5621</v>
      </c>
      <c r="S19" s="4"/>
      <c r="T19" t="s">
        <v>5622</v>
      </c>
      <c r="U19" t="s">
        <v>5623</v>
      </c>
      <c r="V19" t="s">
        <v>5624</v>
      </c>
      <c r="W19" t="s">
        <v>5625</v>
      </c>
      <c r="X19" t="s">
        <v>5626</v>
      </c>
    </row>
    <row r="20" ht="16.5" customHeight="1">
      <c r="A20" s="1" t="s">
        <v>5261</v>
      </c>
      <c r="B20" s="8" t="s">
        <v>5627</v>
      </c>
      <c r="C20" t="s">
        <v>5331</v>
      </c>
      <c r="D20" s="8" t="s">
        <v>3025</v>
      </c>
      <c r="E20" t="s">
        <v>5304</v>
      </c>
      <c r="F20" s="8" t="s">
        <v>5628</v>
      </c>
      <c r="G20" s="8" t="s">
        <v>5629</v>
      </c>
      <c r="H20" s="8" t="s">
        <v>5630</v>
      </c>
      <c r="I20" t="s">
        <v>5631</v>
      </c>
      <c r="J20" t="s">
        <v>5632</v>
      </c>
      <c r="K20" t="s">
        <v>5633</v>
      </c>
      <c r="L20" t="s">
        <v>5634</v>
      </c>
      <c r="M20" s="8" t="s">
        <v>5635</v>
      </c>
      <c r="N20" t="s">
        <v>5636</v>
      </c>
      <c r="O20" t="s">
        <v>5637</v>
      </c>
      <c r="P20" t="s">
        <v>5638</v>
      </c>
      <c r="Q20" t="s">
        <v>5639</v>
      </c>
      <c r="R20" t="s">
        <v>5640</v>
      </c>
      <c r="S20" t="s">
        <v>5641</v>
      </c>
      <c r="T20" s="4"/>
      <c r="U20" s="8" t="s">
        <v>5642</v>
      </c>
      <c r="V20" t="s">
        <v>5643</v>
      </c>
      <c r="W20" t="s">
        <v>5644</v>
      </c>
      <c r="X20" t="s">
        <v>5645</v>
      </c>
    </row>
    <row r="21" ht="16.5" customHeight="1">
      <c r="A21" s="1" t="s">
        <v>5262</v>
      </c>
      <c r="B21" s="8" t="s">
        <v>5646</v>
      </c>
      <c r="C21" t="s">
        <v>5647</v>
      </c>
      <c r="D21" t="s">
        <v>3026</v>
      </c>
      <c r="E21" t="s">
        <v>5648</v>
      </c>
      <c r="F21" s="8" t="s">
        <v>5649</v>
      </c>
      <c r="G21" t="s">
        <v>5650</v>
      </c>
      <c r="H21" t="s">
        <v>5651</v>
      </c>
      <c r="I21" t="s">
        <v>5652</v>
      </c>
      <c r="J21" t="s">
        <v>5653</v>
      </c>
      <c r="K21" t="s">
        <v>5654</v>
      </c>
      <c r="L21" t="s">
        <v>5655</v>
      </c>
      <c r="M21" t="s">
        <v>5656</v>
      </c>
      <c r="N21" s="8" t="s">
        <v>5657</v>
      </c>
      <c r="O21" t="s">
        <v>5658</v>
      </c>
      <c r="P21" t="s">
        <v>5659</v>
      </c>
      <c r="Q21" t="s">
        <v>5660</v>
      </c>
      <c r="R21" t="s">
        <v>5661</v>
      </c>
      <c r="S21" t="s">
        <v>5662</v>
      </c>
      <c r="T21" s="13" t="s">
        <v>5663</v>
      </c>
      <c r="U21" s="4"/>
      <c r="V21" t="s">
        <v>5664</v>
      </c>
      <c r="W21" t="s">
        <v>5665</v>
      </c>
      <c r="X21" t="s">
        <v>5666</v>
      </c>
    </row>
    <row r="22" ht="16.5" customHeight="1">
      <c r="A22" s="1" t="s">
        <v>5263</v>
      </c>
      <c r="B22" t="s">
        <v>5667</v>
      </c>
      <c r="C22" t="s">
        <v>5668</v>
      </c>
      <c r="D22" t="s">
        <v>3027</v>
      </c>
      <c r="E22" t="s">
        <v>5669</v>
      </c>
      <c r="F22" t="s">
        <v>5670</v>
      </c>
      <c r="G22" t="s">
        <v>5671</v>
      </c>
      <c r="H22" s="8" t="s">
        <v>5672</v>
      </c>
      <c r="I22" t="s">
        <v>5673</v>
      </c>
      <c r="J22" t="s">
        <v>5674</v>
      </c>
      <c r="K22" t="s">
        <v>5675</v>
      </c>
      <c r="L22" t="s">
        <v>5676</v>
      </c>
      <c r="M22" t="s">
        <v>5492</v>
      </c>
      <c r="N22" t="s">
        <v>5677</v>
      </c>
      <c r="O22" t="s">
        <v>5678</v>
      </c>
      <c r="P22" t="s">
        <v>5679</v>
      </c>
      <c r="Q22" t="s">
        <v>5680</v>
      </c>
      <c r="R22" t="s">
        <v>5681</v>
      </c>
      <c r="S22" t="s">
        <v>5682</v>
      </c>
      <c r="T22" t="s">
        <v>5683</v>
      </c>
      <c r="U22" t="s">
        <v>5684</v>
      </c>
      <c r="V22" s="4"/>
      <c r="W22" t="s">
        <v>5685</v>
      </c>
      <c r="X22" t="s">
        <v>5686</v>
      </c>
    </row>
    <row r="23" ht="16.5" customHeight="1">
      <c r="A23" s="1" t="s">
        <v>5264</v>
      </c>
      <c r="B23" t="s">
        <v>5687</v>
      </c>
      <c r="C23" s="8" t="s">
        <v>5688</v>
      </c>
      <c r="D23" t="s">
        <v>5689</v>
      </c>
      <c r="E23" s="8" t="s">
        <v>5334</v>
      </c>
      <c r="F23" s="8" t="s">
        <v>5690</v>
      </c>
      <c r="G23" t="s">
        <v>5691</v>
      </c>
      <c r="H23" t="s">
        <v>5692</v>
      </c>
      <c r="I23" t="s">
        <v>5693</v>
      </c>
      <c r="J23" t="s">
        <v>5694</v>
      </c>
      <c r="K23" s="8" t="s">
        <v>5695</v>
      </c>
      <c r="L23" t="s">
        <v>5696</v>
      </c>
      <c r="M23" t="s">
        <v>5697</v>
      </c>
      <c r="N23" t="s">
        <v>5698</v>
      </c>
      <c r="O23" t="s">
        <v>5699</v>
      </c>
      <c r="P23" t="s">
        <v>5700</v>
      </c>
      <c r="Q23" t="s">
        <v>5701</v>
      </c>
      <c r="R23" t="s">
        <v>5702</v>
      </c>
      <c r="S23" t="s">
        <v>5703</v>
      </c>
      <c r="T23" t="s">
        <v>5704</v>
      </c>
      <c r="U23" t="s">
        <v>5705</v>
      </c>
      <c r="V23" t="s">
        <v>5706</v>
      </c>
      <c r="W23" s="4"/>
      <c r="X23" t="s">
        <v>5707</v>
      </c>
    </row>
    <row r="24" ht="16.5" customHeight="1">
      <c r="A24" s="2" t="s">
        <v>5265</v>
      </c>
      <c r="B24" t="s">
        <v>5708</v>
      </c>
      <c r="C24" t="s">
        <v>5709</v>
      </c>
      <c r="D24" t="s">
        <v>3029</v>
      </c>
      <c r="E24" t="s">
        <v>5710</v>
      </c>
      <c r="F24" s="8" t="s">
        <v>5711</v>
      </c>
      <c r="G24" s="8" t="s">
        <v>5712</v>
      </c>
      <c r="H24" t="s">
        <v>5713</v>
      </c>
      <c r="I24" t="s">
        <v>5714</v>
      </c>
      <c r="J24" s="8" t="s">
        <v>5715</v>
      </c>
      <c r="K24" t="s">
        <v>5716</v>
      </c>
      <c r="L24" t="s">
        <v>5717</v>
      </c>
      <c r="M24" s="8" t="s">
        <v>5718</v>
      </c>
      <c r="N24" s="13" t="s">
        <v>5719</v>
      </c>
      <c r="O24" t="s">
        <v>5720</v>
      </c>
      <c r="P24" s="8" t="s">
        <v>5721</v>
      </c>
      <c r="Q24" t="s">
        <v>5722</v>
      </c>
      <c r="R24" t="s">
        <v>5370</v>
      </c>
      <c r="S24" t="s">
        <v>5723</v>
      </c>
      <c r="T24" t="s">
        <v>5724</v>
      </c>
      <c r="U24" t="s">
        <v>5725</v>
      </c>
      <c r="V24" t="s">
        <v>5726</v>
      </c>
      <c r="W24" t="s">
        <v>5727</v>
      </c>
      <c r="X24" s="4"/>
    </row>
    <row r="25" ht="16.5" customHeight="1">
      <c r="A25" s="1"/>
    </row>
    <row r="26" ht="16.5" customHeight="1">
      <c r="A26" s="1"/>
      <c r="B26" t="s">
        <v>3401</v>
      </c>
    </row>
    <row r="27" ht="16.5" customHeight="1">
      <c r="A27" s="1"/>
      <c r="B27">
        <f>529-COUNTBLANK(B2:X24)</f>
        <v>506</v>
      </c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0"/>
    <col customWidth="1" min="3" max="3" width="35.43"/>
  </cols>
  <sheetData>
    <row r="1">
      <c r="A1" s="8" t="s">
        <v>5728</v>
      </c>
      <c r="B1" s="8" t="s">
        <v>5729</v>
      </c>
      <c r="C1" s="8" t="s">
        <v>5730</v>
      </c>
      <c r="D1" s="8" t="s">
        <v>5731</v>
      </c>
      <c r="E1" s="8" t="s">
        <v>5732</v>
      </c>
    </row>
    <row r="2">
      <c r="A2" s="8" t="s">
        <v>5733</v>
      </c>
      <c r="B2" s="8" t="s">
        <v>421</v>
      </c>
      <c r="C2" s="8" t="s">
        <v>5734</v>
      </c>
      <c r="D2" s="8">
        <v>0.9</v>
      </c>
      <c r="E2" s="8">
        <v>0.0</v>
      </c>
    </row>
    <row r="3">
      <c r="A3" s="8" t="s">
        <v>5735</v>
      </c>
      <c r="B3" s="8" t="s">
        <v>5736</v>
      </c>
      <c r="C3" s="8" t="s">
        <v>5737</v>
      </c>
      <c r="D3" s="8">
        <v>1.26</v>
      </c>
      <c r="E3" s="8">
        <v>0.0</v>
      </c>
    </row>
    <row r="4">
      <c r="A4" s="8" t="s">
        <v>5738</v>
      </c>
      <c r="B4" s="8" t="s">
        <v>5739</v>
      </c>
      <c r="C4" s="8" t="s">
        <v>5740</v>
      </c>
      <c r="D4" s="8">
        <v>1.4</v>
      </c>
      <c r="E4" s="8">
        <v>0.0</v>
      </c>
    </row>
    <row r="5">
      <c r="A5" s="8" t="s">
        <v>5741</v>
      </c>
      <c r="B5" s="8" t="s">
        <v>385</v>
      </c>
      <c r="C5" s="8" t="s">
        <v>5742</v>
      </c>
      <c r="D5" s="8">
        <v>0.7</v>
      </c>
      <c r="E5" s="8">
        <v>0.0</v>
      </c>
    </row>
    <row r="6">
      <c r="A6" s="8" t="s">
        <v>5743</v>
      </c>
      <c r="B6" s="8" t="s">
        <v>5744</v>
      </c>
      <c r="C6" s="8" t="s">
        <v>4963</v>
      </c>
      <c r="D6" s="8">
        <v>1.4</v>
      </c>
      <c r="E6" s="8">
        <v>2.0</v>
      </c>
    </row>
    <row r="7">
      <c r="A7" s="8" t="s">
        <v>5745</v>
      </c>
      <c r="B7" s="8" t="s">
        <v>5746</v>
      </c>
      <c r="C7" s="8" t="s">
        <v>5737</v>
      </c>
      <c r="D7" s="8">
        <v>1.31</v>
      </c>
      <c r="E7" s="8">
        <v>2.0</v>
      </c>
      <c r="F7" s="8"/>
    </row>
    <row r="8">
      <c r="A8" s="8" t="s">
        <v>5747</v>
      </c>
      <c r="B8" s="8" t="s">
        <v>5748</v>
      </c>
      <c r="C8" s="8" t="s">
        <v>5749</v>
      </c>
      <c r="D8" s="8">
        <v>1.64</v>
      </c>
      <c r="E8" s="8">
        <v>2.0</v>
      </c>
      <c r="F8" s="8"/>
    </row>
    <row r="9">
      <c r="A9" s="8" t="s">
        <v>5750</v>
      </c>
      <c r="B9" s="8" t="s">
        <v>5751</v>
      </c>
      <c r="C9" s="8" t="s">
        <v>5752</v>
      </c>
      <c r="D9" s="8">
        <v>1.65</v>
      </c>
      <c r="E9" s="8">
        <v>1.0</v>
      </c>
      <c r="F9" s="8"/>
    </row>
    <row r="10">
      <c r="A10" s="8" t="s">
        <v>5753</v>
      </c>
      <c r="B10" s="8" t="s">
        <v>5754</v>
      </c>
      <c r="C10" s="8" t="s">
        <v>4963</v>
      </c>
      <c r="D10" s="8">
        <v>0.94</v>
      </c>
      <c r="E10" s="8">
        <v>0.0</v>
      </c>
    </row>
    <row r="11">
      <c r="A11" s="8" t="s">
        <v>5755</v>
      </c>
      <c r="B11" s="8" t="s">
        <v>5756</v>
      </c>
      <c r="C11" s="8" t="s">
        <v>5757</v>
      </c>
      <c r="D11" s="8">
        <v>1.8</v>
      </c>
      <c r="E11" s="8">
        <v>0.0</v>
      </c>
    </row>
    <row r="12">
      <c r="A12" s="8" t="s">
        <v>5758</v>
      </c>
      <c r="B12" s="8" t="s">
        <v>5759</v>
      </c>
      <c r="C12" s="8" t="s">
        <v>5760</v>
      </c>
      <c r="D12" s="8">
        <v>1.14</v>
      </c>
      <c r="E12" s="8">
        <v>2.0</v>
      </c>
    </row>
    <row r="13">
      <c r="A13" s="8" t="s">
        <v>5761</v>
      </c>
      <c r="B13" s="8" t="s">
        <v>5762</v>
      </c>
      <c r="C13" s="8" t="s">
        <v>4963</v>
      </c>
      <c r="D13" s="8">
        <v>0.94</v>
      </c>
      <c r="E13" s="8">
        <v>0.0</v>
      </c>
    </row>
    <row r="14">
      <c r="A14" s="8" t="s">
        <v>5763</v>
      </c>
      <c r="B14" s="8" t="s">
        <v>5764</v>
      </c>
      <c r="C14" s="8" t="s">
        <v>5765</v>
      </c>
      <c r="D14" s="8">
        <v>1.15</v>
      </c>
      <c r="E14" s="8">
        <v>2.0</v>
      </c>
    </row>
    <row r="15">
      <c r="A15" s="8" t="s">
        <v>5766</v>
      </c>
      <c r="B15" s="8" t="s">
        <v>5767</v>
      </c>
      <c r="C15" s="8" t="s">
        <v>5768</v>
      </c>
      <c r="D15" s="8">
        <v>1.44</v>
      </c>
      <c r="E15" s="8">
        <v>1.0</v>
      </c>
    </row>
    <row r="16">
      <c r="A16" s="8" t="s">
        <v>5769</v>
      </c>
      <c r="B16" s="8" t="s">
        <v>5770</v>
      </c>
      <c r="C16" s="8" t="s">
        <v>5771</v>
      </c>
      <c r="D16" s="8">
        <v>1.48</v>
      </c>
      <c r="E16" s="8">
        <v>2.0</v>
      </c>
      <c r="F16" s="8"/>
    </row>
    <row r="17">
      <c r="A17" s="8" t="s">
        <v>5772</v>
      </c>
      <c r="B17" s="30" t="s">
        <v>387</v>
      </c>
      <c r="C17" s="8" t="s">
        <v>5773</v>
      </c>
      <c r="D17" s="8">
        <v>0.9</v>
      </c>
      <c r="E17" s="8">
        <v>0.0</v>
      </c>
      <c r="G17" s="8"/>
    </row>
    <row r="18">
      <c r="A18" s="8" t="s">
        <v>5774</v>
      </c>
      <c r="B18" s="8" t="s">
        <v>5775</v>
      </c>
      <c r="C18" s="8" t="s">
        <v>5776</v>
      </c>
      <c r="D18" s="8">
        <v>1.66</v>
      </c>
      <c r="E18" s="8">
        <v>2.0</v>
      </c>
      <c r="F18" s="8"/>
    </row>
    <row r="19">
      <c r="A19" s="8" t="s">
        <v>5777</v>
      </c>
      <c r="B19" s="8" t="s">
        <v>5778</v>
      </c>
      <c r="C19" s="8" t="s">
        <v>4963</v>
      </c>
      <c r="D19" s="8">
        <v>1.18</v>
      </c>
      <c r="E19" s="8">
        <v>0.0</v>
      </c>
    </row>
    <row r="20">
      <c r="A20" s="8" t="s">
        <v>5779</v>
      </c>
      <c r="B20" s="12" t="s">
        <v>5780</v>
      </c>
      <c r="C20" s="8" t="s">
        <v>4963</v>
      </c>
      <c r="D20" s="8">
        <v>1.36</v>
      </c>
      <c r="E20" s="8">
        <v>0.0</v>
      </c>
    </row>
    <row r="21">
      <c r="A21" s="8" t="s">
        <v>5781</v>
      </c>
      <c r="B21" s="8" t="s">
        <v>5782</v>
      </c>
      <c r="C21" s="8" t="s">
        <v>5783</v>
      </c>
      <c r="D21" s="8">
        <v>1.36</v>
      </c>
      <c r="E21" s="8">
        <v>2.0</v>
      </c>
    </row>
    <row r="22">
      <c r="A22" s="8" t="s">
        <v>5784</v>
      </c>
      <c r="B22" s="30" t="s">
        <v>5170</v>
      </c>
      <c r="C22" s="8" t="s">
        <v>5785</v>
      </c>
      <c r="D22" s="8">
        <v>1.06</v>
      </c>
      <c r="E22" s="8">
        <v>1.0</v>
      </c>
    </row>
    <row r="23">
      <c r="A23" s="8" t="s">
        <v>5786</v>
      </c>
      <c r="B23" s="8" t="s">
        <v>5787</v>
      </c>
      <c r="C23" s="8" t="s">
        <v>5788</v>
      </c>
      <c r="D23" s="8">
        <v>1.8</v>
      </c>
      <c r="E23" s="8">
        <v>2.0</v>
      </c>
      <c r="F23" s="8"/>
    </row>
    <row r="25">
      <c r="A25" s="8"/>
      <c r="C25" s="8" t="s">
        <v>5789</v>
      </c>
      <c r="D25" s="81">
        <f t="shared" ref="D25:E25" si="1">average(D2:D23)</f>
        <v>1.294090909</v>
      </c>
      <c r="E25" s="81">
        <f t="shared" si="1"/>
        <v>0.9545454545</v>
      </c>
    </row>
  </sheetData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0"/>
    <col customWidth="1" min="3" max="3" width="35.43"/>
  </cols>
  <sheetData>
    <row r="1">
      <c r="A1" s="8" t="s">
        <v>5728</v>
      </c>
      <c r="B1" s="8" t="s">
        <v>5729</v>
      </c>
      <c r="C1" s="8" t="s">
        <v>5790</v>
      </c>
      <c r="D1" s="8" t="s">
        <v>5731</v>
      </c>
      <c r="E1" s="8" t="s">
        <v>5732</v>
      </c>
    </row>
    <row r="2">
      <c r="A2" s="8" t="s">
        <v>5791</v>
      </c>
      <c r="B2" s="8" t="s">
        <v>3442</v>
      </c>
      <c r="C2" s="8" t="s">
        <v>5792</v>
      </c>
      <c r="D2" s="8">
        <v>0.97</v>
      </c>
      <c r="E2" s="8">
        <v>0.0</v>
      </c>
    </row>
    <row r="3">
      <c r="A3" s="8" t="s">
        <v>5793</v>
      </c>
      <c r="B3" s="8" t="s">
        <v>5794</v>
      </c>
      <c r="C3" s="8" t="s">
        <v>5795</v>
      </c>
      <c r="D3" s="8">
        <v>1.19</v>
      </c>
      <c r="E3" s="8">
        <v>0.0</v>
      </c>
    </row>
    <row r="4">
      <c r="A4" s="8" t="s">
        <v>5796</v>
      </c>
      <c r="B4" s="8" t="s">
        <v>3403</v>
      </c>
      <c r="C4" s="8" t="s">
        <v>5797</v>
      </c>
      <c r="D4" s="8">
        <v>0.92</v>
      </c>
      <c r="E4" s="8">
        <v>0.0</v>
      </c>
    </row>
    <row r="5">
      <c r="A5" s="8" t="s">
        <v>5798</v>
      </c>
      <c r="B5" s="8" t="s">
        <v>5799</v>
      </c>
      <c r="C5" s="8" t="s">
        <v>5800</v>
      </c>
      <c r="D5" s="8">
        <v>1.42</v>
      </c>
      <c r="E5" s="8">
        <v>2.0</v>
      </c>
    </row>
    <row r="6">
      <c r="A6" s="8" t="s">
        <v>5801</v>
      </c>
      <c r="B6" s="8" t="s">
        <v>5739</v>
      </c>
      <c r="C6" s="8" t="s">
        <v>5740</v>
      </c>
      <c r="D6" s="8">
        <v>1.4</v>
      </c>
      <c r="E6" s="8">
        <v>0.0</v>
      </c>
    </row>
    <row r="7">
      <c r="A7" s="8" t="s">
        <v>5802</v>
      </c>
      <c r="B7" s="8" t="s">
        <v>5803</v>
      </c>
      <c r="C7" s="8" t="s">
        <v>5804</v>
      </c>
      <c r="D7" s="8"/>
      <c r="E7" s="8"/>
      <c r="F7" s="8"/>
    </row>
    <row r="8">
      <c r="A8" s="8" t="s">
        <v>5805</v>
      </c>
      <c r="B8" s="8" t="s">
        <v>5806</v>
      </c>
      <c r="C8" s="8" t="s">
        <v>5807</v>
      </c>
      <c r="D8" s="8">
        <v>1.25</v>
      </c>
      <c r="E8" s="8">
        <v>0.0</v>
      </c>
      <c r="F8" s="8"/>
    </row>
    <row r="9">
      <c r="A9" s="8" t="s">
        <v>5808</v>
      </c>
      <c r="B9" s="8" t="s">
        <v>5809</v>
      </c>
      <c r="C9" s="8" t="s">
        <v>5807</v>
      </c>
      <c r="D9" s="8">
        <v>1.19</v>
      </c>
      <c r="E9" s="8">
        <v>0.0</v>
      </c>
      <c r="F9" s="8"/>
    </row>
    <row r="10">
      <c r="A10" s="8" t="s">
        <v>5810</v>
      </c>
      <c r="B10" s="8" t="s">
        <v>5811</v>
      </c>
      <c r="C10" s="8" t="s">
        <v>5812</v>
      </c>
      <c r="D10" s="8">
        <v>1.11</v>
      </c>
      <c r="E10" s="8">
        <v>0.0</v>
      </c>
    </row>
    <row r="11">
      <c r="A11" s="8" t="s">
        <v>5813</v>
      </c>
      <c r="B11" s="8" t="s">
        <v>5814</v>
      </c>
      <c r="C11" s="8" t="s">
        <v>5815</v>
      </c>
      <c r="D11" s="8">
        <v>1.49</v>
      </c>
      <c r="E11" s="8">
        <v>2.0</v>
      </c>
    </row>
    <row r="12">
      <c r="A12" s="8" t="s">
        <v>5816</v>
      </c>
      <c r="B12" s="8" t="s">
        <v>5817</v>
      </c>
      <c r="C12" s="8" t="s">
        <v>5807</v>
      </c>
      <c r="D12" s="8"/>
      <c r="E12" s="8"/>
    </row>
    <row r="13">
      <c r="A13" s="8" t="s">
        <v>5818</v>
      </c>
      <c r="B13" s="8" t="s">
        <v>5819</v>
      </c>
      <c r="C13" s="8" t="s">
        <v>5807</v>
      </c>
      <c r="D13" s="8">
        <v>1.05</v>
      </c>
      <c r="E13" s="8">
        <v>2.0</v>
      </c>
    </row>
    <row r="14">
      <c r="A14" s="8" t="s">
        <v>5820</v>
      </c>
      <c r="B14" s="8" t="s">
        <v>5821</v>
      </c>
      <c r="C14" s="8" t="s">
        <v>5822</v>
      </c>
      <c r="D14" s="8">
        <v>1.46</v>
      </c>
      <c r="E14" s="8">
        <v>2.0</v>
      </c>
    </row>
    <row r="15">
      <c r="A15" s="8" t="s">
        <v>5823</v>
      </c>
      <c r="B15" s="8" t="s">
        <v>5824</v>
      </c>
      <c r="C15" s="8" t="s">
        <v>5807</v>
      </c>
      <c r="D15" s="8"/>
      <c r="E15" s="8"/>
    </row>
    <row r="16">
      <c r="A16" s="8" t="s">
        <v>5825</v>
      </c>
      <c r="B16" s="8" t="s">
        <v>5826</v>
      </c>
      <c r="C16" s="8" t="s">
        <v>5827</v>
      </c>
      <c r="D16" s="8"/>
      <c r="E16" s="8"/>
      <c r="F16" s="8"/>
    </row>
    <row r="17">
      <c r="A17" s="8" t="s">
        <v>5828</v>
      </c>
      <c r="B17" s="30" t="s">
        <v>325</v>
      </c>
      <c r="C17" s="8" t="s">
        <v>5829</v>
      </c>
      <c r="D17" s="8"/>
      <c r="E17" s="8"/>
      <c r="G17" s="8"/>
    </row>
    <row r="18">
      <c r="A18" s="8" t="s">
        <v>5830</v>
      </c>
      <c r="B18" s="8" t="s">
        <v>5831</v>
      </c>
      <c r="C18" s="8" t="s">
        <v>5832</v>
      </c>
      <c r="D18" s="8"/>
      <c r="E18" s="8"/>
      <c r="F18" s="8"/>
    </row>
    <row r="19">
      <c r="A19" s="8" t="s">
        <v>5833</v>
      </c>
      <c r="B19" s="8" t="s">
        <v>5834</v>
      </c>
      <c r="C19" s="8" t="s">
        <v>5835</v>
      </c>
      <c r="D19" s="8"/>
      <c r="E19" s="8"/>
    </row>
    <row r="20">
      <c r="A20" s="8" t="s">
        <v>5836</v>
      </c>
      <c r="B20" s="12" t="s">
        <v>5837</v>
      </c>
      <c r="C20" s="8" t="s">
        <v>5838</v>
      </c>
      <c r="D20" s="8"/>
      <c r="E20" s="8"/>
    </row>
    <row r="21">
      <c r="A21" s="8" t="s">
        <v>5839</v>
      </c>
      <c r="B21" s="8" t="s">
        <v>5840</v>
      </c>
      <c r="C21" s="8" t="s">
        <v>5807</v>
      </c>
      <c r="D21" s="8"/>
      <c r="E21" s="8"/>
    </row>
    <row r="22">
      <c r="A22" s="8" t="s">
        <v>5841</v>
      </c>
      <c r="B22" s="30" t="s">
        <v>231</v>
      </c>
      <c r="C22" s="8" t="s">
        <v>5842</v>
      </c>
      <c r="D22" s="8">
        <v>0.73</v>
      </c>
      <c r="E22" s="8">
        <v>0.0</v>
      </c>
    </row>
    <row r="23">
      <c r="A23" s="8" t="s">
        <v>5843</v>
      </c>
      <c r="B23" s="8" t="s">
        <v>5844</v>
      </c>
      <c r="C23" s="8" t="s">
        <v>5807</v>
      </c>
      <c r="D23" s="8"/>
      <c r="E23" s="8"/>
      <c r="F23" s="8"/>
    </row>
    <row r="25">
      <c r="A25" s="8"/>
      <c r="C25" s="8" t="s">
        <v>5789</v>
      </c>
      <c r="D25">
        <f t="shared" ref="D25:E25" si="1">average(D2:D23)</f>
        <v>1.181666667</v>
      </c>
      <c r="E25">
        <f t="shared" si="1"/>
        <v>0.6666666667</v>
      </c>
    </row>
  </sheetData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14"/>
  </cols>
  <sheetData>
    <row r="1" ht="16.5" customHeight="1">
      <c r="A1" s="2" t="s">
        <v>0</v>
      </c>
      <c r="B1" s="2" t="s">
        <v>5845</v>
      </c>
      <c r="C1" s="2" t="s">
        <v>5846</v>
      </c>
      <c r="D1" s="2" t="s">
        <v>5847</v>
      </c>
      <c r="E1" s="2" t="s">
        <v>5848</v>
      </c>
      <c r="F1" s="2" t="s">
        <v>5849</v>
      </c>
      <c r="G1" s="2" t="s">
        <v>5850</v>
      </c>
      <c r="H1" s="2" t="s">
        <v>5851</v>
      </c>
      <c r="I1" s="2" t="s">
        <v>5852</v>
      </c>
      <c r="J1" s="2" t="s">
        <v>5853</v>
      </c>
      <c r="K1" s="2" t="s">
        <v>5854</v>
      </c>
      <c r="L1" s="2" t="s">
        <v>5855</v>
      </c>
      <c r="M1" s="2" t="s">
        <v>5856</v>
      </c>
      <c r="N1" s="2" t="s">
        <v>5857</v>
      </c>
      <c r="O1" s="2" t="s">
        <v>5858</v>
      </c>
      <c r="P1" s="2" t="s">
        <v>5859</v>
      </c>
      <c r="Q1" s="2" t="s">
        <v>5860</v>
      </c>
      <c r="R1" s="2" t="s">
        <v>5861</v>
      </c>
      <c r="S1" s="2" t="s">
        <v>5862</v>
      </c>
      <c r="T1" s="2" t="s">
        <v>5863</v>
      </c>
      <c r="U1" s="2" t="s">
        <v>5864</v>
      </c>
      <c r="V1" s="2" t="s">
        <v>5865</v>
      </c>
      <c r="W1" s="2" t="s">
        <v>5866</v>
      </c>
      <c r="X1" s="2" t="s">
        <v>5867</v>
      </c>
      <c r="Y1" s="2" t="s">
        <v>5868</v>
      </c>
      <c r="Z1" s="1"/>
    </row>
    <row r="2" ht="16.5" customHeight="1">
      <c r="A2" s="2" t="s">
        <v>5845</v>
      </c>
      <c r="B2" s="7"/>
      <c r="C2" s="8" t="s">
        <v>5869</v>
      </c>
      <c r="D2" s="8" t="s">
        <v>5870</v>
      </c>
      <c r="E2" s="8" t="s">
        <v>5871</v>
      </c>
      <c r="F2" s="8" t="s">
        <v>5872</v>
      </c>
      <c r="G2" s="8" t="s">
        <v>5873</v>
      </c>
      <c r="H2" s="8" t="s">
        <v>5874</v>
      </c>
      <c r="I2" s="8" t="s">
        <v>5875</v>
      </c>
      <c r="J2" s="8" t="s">
        <v>5876</v>
      </c>
      <c r="K2" s="8" t="s">
        <v>5877</v>
      </c>
      <c r="L2" s="8" t="s">
        <v>5878</v>
      </c>
      <c r="M2" s="8" t="s">
        <v>5879</v>
      </c>
      <c r="N2" s="8" t="s">
        <v>5880</v>
      </c>
      <c r="O2" s="8" t="s">
        <v>5881</v>
      </c>
      <c r="P2" s="8" t="s">
        <v>5882</v>
      </c>
      <c r="Q2" s="8" t="s">
        <v>5883</v>
      </c>
      <c r="R2" s="8" t="s">
        <v>5884</v>
      </c>
      <c r="S2" s="8" t="s">
        <v>5885</v>
      </c>
      <c r="T2" s="8" t="s">
        <v>5886</v>
      </c>
      <c r="U2" s="8" t="s">
        <v>5887</v>
      </c>
      <c r="V2" s="8" t="s">
        <v>5888</v>
      </c>
      <c r="W2" s="8" t="s">
        <v>5889</v>
      </c>
      <c r="X2" s="8" t="s">
        <v>5890</v>
      </c>
      <c r="Y2" s="8" t="s">
        <v>5891</v>
      </c>
    </row>
    <row r="3" ht="16.5" customHeight="1">
      <c r="A3" s="2" t="s">
        <v>5846</v>
      </c>
      <c r="B3" s="8" t="s">
        <v>5892</v>
      </c>
      <c r="C3" s="7"/>
      <c r="D3" s="8" t="s">
        <v>5893</v>
      </c>
      <c r="E3" s="8" t="s">
        <v>5894</v>
      </c>
      <c r="F3" s="8" t="s">
        <v>5895</v>
      </c>
      <c r="G3" s="8" t="s">
        <v>5896</v>
      </c>
      <c r="H3" s="8" t="s">
        <v>5897</v>
      </c>
      <c r="I3" s="8" t="s">
        <v>5898</v>
      </c>
      <c r="J3" s="8" t="s">
        <v>5899</v>
      </c>
      <c r="K3" s="8" t="s">
        <v>5900</v>
      </c>
      <c r="L3" s="8" t="s">
        <v>5901</v>
      </c>
      <c r="M3" s="8" t="s">
        <v>5902</v>
      </c>
      <c r="N3" s="8" t="s">
        <v>5903</v>
      </c>
      <c r="O3" s="8" t="s">
        <v>5904</v>
      </c>
      <c r="P3" s="8" t="s">
        <v>5905</v>
      </c>
      <c r="Q3" s="8" t="s">
        <v>5906</v>
      </c>
      <c r="R3" s="8" t="s">
        <v>5907</v>
      </c>
      <c r="S3" s="8" t="s">
        <v>5908</v>
      </c>
      <c r="T3" s="8" t="s">
        <v>5909</v>
      </c>
      <c r="U3" s="8" t="s">
        <v>5910</v>
      </c>
      <c r="V3" s="8" t="s">
        <v>5911</v>
      </c>
      <c r="W3" s="8" t="s">
        <v>5912</v>
      </c>
      <c r="X3" s="8" t="s">
        <v>5913</v>
      </c>
      <c r="Y3" s="8" t="s">
        <v>5914</v>
      </c>
    </row>
    <row r="4" ht="16.5" customHeight="1">
      <c r="A4" s="2" t="s">
        <v>5847</v>
      </c>
      <c r="B4" s="8" t="s">
        <v>5915</v>
      </c>
      <c r="C4" s="8" t="s">
        <v>5916</v>
      </c>
      <c r="D4" s="7"/>
      <c r="E4" s="8" t="s">
        <v>5917</v>
      </c>
      <c r="F4" s="8" t="s">
        <v>5918</v>
      </c>
      <c r="G4" s="8" t="s">
        <v>5919</v>
      </c>
      <c r="H4" s="8" t="s">
        <v>5920</v>
      </c>
      <c r="I4" s="8" t="s">
        <v>5921</v>
      </c>
      <c r="J4" s="8" t="s">
        <v>5922</v>
      </c>
      <c r="K4" s="8" t="s">
        <v>5923</v>
      </c>
      <c r="L4" s="8" t="s">
        <v>5924</v>
      </c>
      <c r="M4" s="8" t="s">
        <v>5925</v>
      </c>
      <c r="N4" s="8" t="s">
        <v>5926</v>
      </c>
      <c r="O4" s="8" t="s">
        <v>5927</v>
      </c>
      <c r="P4" s="8" t="s">
        <v>5928</v>
      </c>
      <c r="Q4" s="8" t="s">
        <v>5929</v>
      </c>
      <c r="R4" s="8" t="s">
        <v>5930</v>
      </c>
      <c r="S4" s="8" t="s">
        <v>5931</v>
      </c>
      <c r="T4" s="8" t="s">
        <v>5932</v>
      </c>
      <c r="U4" s="8" t="s">
        <v>5933</v>
      </c>
      <c r="V4" s="8" t="s">
        <v>5934</v>
      </c>
      <c r="W4" s="8" t="s">
        <v>5935</v>
      </c>
      <c r="X4" s="8" t="s">
        <v>5936</v>
      </c>
      <c r="Y4" s="8" t="s">
        <v>5937</v>
      </c>
    </row>
    <row r="5" ht="16.5" customHeight="1">
      <c r="A5" s="2" t="s">
        <v>5848</v>
      </c>
      <c r="B5" s="8" t="s">
        <v>5938</v>
      </c>
      <c r="C5" s="8" t="s">
        <v>5939</v>
      </c>
      <c r="D5" s="8" t="s">
        <v>5940</v>
      </c>
      <c r="E5" s="7"/>
      <c r="F5" s="8" t="s">
        <v>5941</v>
      </c>
      <c r="G5" s="8" t="s">
        <v>5942</v>
      </c>
      <c r="H5" s="8" t="s">
        <v>5943</v>
      </c>
      <c r="I5" s="8" t="s">
        <v>5944</v>
      </c>
      <c r="J5" s="8" t="s">
        <v>5945</v>
      </c>
      <c r="K5" s="8" t="s">
        <v>5946</v>
      </c>
      <c r="L5" s="8" t="s">
        <v>5947</v>
      </c>
      <c r="M5" s="8" t="s">
        <v>5948</v>
      </c>
      <c r="N5" s="8" t="s">
        <v>5949</v>
      </c>
      <c r="O5" s="8" t="s">
        <v>5950</v>
      </c>
      <c r="P5" s="8" t="s">
        <v>5951</v>
      </c>
      <c r="Q5" s="8" t="s">
        <v>5952</v>
      </c>
      <c r="R5" s="8" t="s">
        <v>5953</v>
      </c>
      <c r="S5" s="8" t="s">
        <v>5954</v>
      </c>
      <c r="T5" s="8" t="s">
        <v>5955</v>
      </c>
      <c r="U5" s="8" t="s">
        <v>5956</v>
      </c>
      <c r="V5" s="8" t="s">
        <v>5957</v>
      </c>
      <c r="W5" s="8" t="s">
        <v>5958</v>
      </c>
      <c r="X5" s="8" t="s">
        <v>5959</v>
      </c>
      <c r="Y5" s="8" t="s">
        <v>5960</v>
      </c>
    </row>
    <row r="6" ht="16.5" customHeight="1">
      <c r="A6" s="2" t="s">
        <v>5849</v>
      </c>
      <c r="B6" s="8" t="s">
        <v>5961</v>
      </c>
      <c r="C6" s="8" t="s">
        <v>5962</v>
      </c>
      <c r="D6" s="8" t="s">
        <v>5963</v>
      </c>
      <c r="E6" s="8" t="s">
        <v>5964</v>
      </c>
      <c r="F6" s="7"/>
      <c r="G6" s="8" t="s">
        <v>5965</v>
      </c>
      <c r="H6" s="8" t="s">
        <v>5966</v>
      </c>
      <c r="I6" s="8" t="s">
        <v>5967</v>
      </c>
      <c r="J6" s="8" t="s">
        <v>5968</v>
      </c>
      <c r="K6" s="8" t="s">
        <v>5969</v>
      </c>
      <c r="L6" s="8" t="s">
        <v>5970</v>
      </c>
      <c r="M6" s="8" t="s">
        <v>5971</v>
      </c>
      <c r="N6" s="8" t="s">
        <v>5972</v>
      </c>
      <c r="O6" s="8" t="s">
        <v>5973</v>
      </c>
      <c r="P6" s="8" t="s">
        <v>5974</v>
      </c>
      <c r="Q6" s="8" t="s">
        <v>5975</v>
      </c>
      <c r="R6" s="8" t="s">
        <v>5976</v>
      </c>
      <c r="S6" s="8" t="s">
        <v>5977</v>
      </c>
      <c r="T6" s="8" t="s">
        <v>5978</v>
      </c>
      <c r="U6" s="8" t="s">
        <v>5979</v>
      </c>
      <c r="V6" s="8" t="s">
        <v>5980</v>
      </c>
      <c r="W6" s="8" t="s">
        <v>5981</v>
      </c>
      <c r="X6" s="8" t="s">
        <v>5982</v>
      </c>
      <c r="Y6" s="8" t="s">
        <v>5983</v>
      </c>
    </row>
    <row r="7" ht="16.5" customHeight="1">
      <c r="A7" s="2" t="s">
        <v>5850</v>
      </c>
      <c r="B7" s="8" t="s">
        <v>5984</v>
      </c>
      <c r="C7" s="8" t="s">
        <v>5985</v>
      </c>
      <c r="D7" s="8" t="s">
        <v>5986</v>
      </c>
      <c r="E7" s="8" t="s">
        <v>5987</v>
      </c>
      <c r="F7" s="8" t="s">
        <v>5988</v>
      </c>
      <c r="G7" s="7"/>
      <c r="H7" s="8" t="s">
        <v>5989</v>
      </c>
      <c r="I7" s="8" t="s">
        <v>5990</v>
      </c>
      <c r="J7" s="8" t="s">
        <v>5991</v>
      </c>
      <c r="K7" s="8" t="s">
        <v>5992</v>
      </c>
      <c r="L7" s="8" t="s">
        <v>5993</v>
      </c>
      <c r="M7" s="8" t="s">
        <v>5994</v>
      </c>
      <c r="N7" s="8" t="s">
        <v>5995</v>
      </c>
      <c r="O7" s="8" t="s">
        <v>5996</v>
      </c>
      <c r="P7" s="8" t="s">
        <v>5997</v>
      </c>
      <c r="Q7" s="8" t="s">
        <v>5998</v>
      </c>
      <c r="R7" s="8" t="s">
        <v>5999</v>
      </c>
      <c r="S7" s="8" t="s">
        <v>6000</v>
      </c>
      <c r="T7" s="8" t="s">
        <v>6001</v>
      </c>
      <c r="U7" s="8" t="s">
        <v>6002</v>
      </c>
      <c r="V7" s="8" t="s">
        <v>6003</v>
      </c>
      <c r="W7" s="8" t="s">
        <v>6004</v>
      </c>
      <c r="X7" s="8" t="s">
        <v>6005</v>
      </c>
      <c r="Y7" s="8" t="s">
        <v>6006</v>
      </c>
    </row>
    <row r="8" ht="16.5" customHeight="1">
      <c r="A8" s="2" t="s">
        <v>5851</v>
      </c>
      <c r="B8" s="8" t="s">
        <v>6007</v>
      </c>
      <c r="C8" s="8" t="s">
        <v>6008</v>
      </c>
      <c r="D8" s="8" t="s">
        <v>6009</v>
      </c>
      <c r="E8" s="8" t="s">
        <v>6010</v>
      </c>
      <c r="F8" s="8" t="s">
        <v>6011</v>
      </c>
      <c r="G8" s="8" t="s">
        <v>6012</v>
      </c>
      <c r="H8" s="7"/>
      <c r="I8" s="8" t="s">
        <v>6013</v>
      </c>
      <c r="J8" s="8" t="s">
        <v>6014</v>
      </c>
      <c r="K8" s="8" t="s">
        <v>6015</v>
      </c>
      <c r="L8" s="8" t="s">
        <v>6016</v>
      </c>
      <c r="M8" s="8" t="s">
        <v>6017</v>
      </c>
      <c r="N8" s="8" t="s">
        <v>6018</v>
      </c>
      <c r="O8" s="8" t="s">
        <v>6019</v>
      </c>
      <c r="P8" s="8" t="s">
        <v>6020</v>
      </c>
      <c r="Q8" s="8" t="s">
        <v>6021</v>
      </c>
      <c r="R8" s="8" t="s">
        <v>6022</v>
      </c>
      <c r="S8" s="8" t="s">
        <v>6023</v>
      </c>
      <c r="T8" s="8" t="s">
        <v>6024</v>
      </c>
      <c r="U8" s="8" t="s">
        <v>6025</v>
      </c>
      <c r="V8" s="8" t="s">
        <v>6026</v>
      </c>
      <c r="W8" s="8" t="s">
        <v>6027</v>
      </c>
      <c r="X8" s="8" t="s">
        <v>6028</v>
      </c>
      <c r="Y8" s="8" t="s">
        <v>6029</v>
      </c>
    </row>
    <row r="9" ht="16.5" customHeight="1">
      <c r="A9" s="2" t="s">
        <v>5852</v>
      </c>
      <c r="B9" s="8" t="s">
        <v>6030</v>
      </c>
      <c r="C9" s="8" t="s">
        <v>6031</v>
      </c>
      <c r="D9" s="8" t="s">
        <v>6032</v>
      </c>
      <c r="E9" s="8" t="s">
        <v>6033</v>
      </c>
      <c r="F9" s="8" t="s">
        <v>6034</v>
      </c>
      <c r="G9" s="8" t="s">
        <v>6035</v>
      </c>
      <c r="H9" s="8" t="s">
        <v>6036</v>
      </c>
      <c r="I9" s="7"/>
      <c r="J9" s="8" t="s">
        <v>6037</v>
      </c>
      <c r="K9" s="8" t="s">
        <v>6038</v>
      </c>
      <c r="L9" s="8" t="s">
        <v>6039</v>
      </c>
      <c r="M9" s="8" t="s">
        <v>6040</v>
      </c>
      <c r="N9" s="8" t="s">
        <v>6041</v>
      </c>
      <c r="O9" s="8" t="s">
        <v>6042</v>
      </c>
      <c r="P9" s="8" t="s">
        <v>6043</v>
      </c>
      <c r="Q9" s="8" t="s">
        <v>6044</v>
      </c>
      <c r="R9" s="8" t="s">
        <v>6045</v>
      </c>
      <c r="S9" s="8" t="s">
        <v>6046</v>
      </c>
      <c r="T9" s="8" t="s">
        <v>6047</v>
      </c>
      <c r="U9" s="8" t="s">
        <v>6048</v>
      </c>
      <c r="V9" s="8" t="s">
        <v>6049</v>
      </c>
      <c r="W9" s="8" t="s">
        <v>6050</v>
      </c>
      <c r="X9" s="8" t="s">
        <v>6051</v>
      </c>
      <c r="Y9" s="8" t="s">
        <v>6052</v>
      </c>
    </row>
    <row r="10" ht="16.5" customHeight="1">
      <c r="A10" s="2" t="s">
        <v>5853</v>
      </c>
      <c r="B10" s="8" t="s">
        <v>6053</v>
      </c>
      <c r="C10" s="8" t="s">
        <v>6054</v>
      </c>
      <c r="D10" s="8" t="s">
        <v>6055</v>
      </c>
      <c r="E10" s="8" t="s">
        <v>6056</v>
      </c>
      <c r="F10" s="8" t="s">
        <v>6057</v>
      </c>
      <c r="G10" s="8" t="s">
        <v>6058</v>
      </c>
      <c r="H10" s="8" t="s">
        <v>6059</v>
      </c>
      <c r="I10" s="8" t="s">
        <v>6060</v>
      </c>
      <c r="J10" s="7"/>
      <c r="K10" s="8" t="s">
        <v>6061</v>
      </c>
      <c r="L10" s="8" t="s">
        <v>6062</v>
      </c>
      <c r="M10" s="8" t="s">
        <v>6063</v>
      </c>
      <c r="N10" s="8" t="s">
        <v>6064</v>
      </c>
      <c r="O10" s="8" t="s">
        <v>6065</v>
      </c>
      <c r="P10" s="8" t="s">
        <v>6066</v>
      </c>
      <c r="Q10" s="8" t="s">
        <v>6067</v>
      </c>
      <c r="R10" s="8" t="s">
        <v>6068</v>
      </c>
      <c r="S10" s="8" t="s">
        <v>6069</v>
      </c>
      <c r="T10" s="8" t="s">
        <v>6070</v>
      </c>
      <c r="U10" s="8" t="s">
        <v>6071</v>
      </c>
      <c r="V10" s="8" t="s">
        <v>6072</v>
      </c>
      <c r="W10" s="8" t="s">
        <v>6073</v>
      </c>
      <c r="X10" s="8" t="s">
        <v>6074</v>
      </c>
      <c r="Y10" s="8" t="s">
        <v>6075</v>
      </c>
    </row>
    <row r="11" ht="16.5" customHeight="1">
      <c r="A11" s="2" t="s">
        <v>5854</v>
      </c>
      <c r="B11" s="8" t="s">
        <v>6076</v>
      </c>
      <c r="C11" s="8" t="s">
        <v>6077</v>
      </c>
      <c r="D11" s="8" t="s">
        <v>6078</v>
      </c>
      <c r="E11" s="8" t="s">
        <v>6079</v>
      </c>
      <c r="F11" s="8" t="s">
        <v>6080</v>
      </c>
      <c r="G11" s="8" t="s">
        <v>6081</v>
      </c>
      <c r="H11" s="8" t="s">
        <v>6082</v>
      </c>
      <c r="I11" s="8" t="s">
        <v>6083</v>
      </c>
      <c r="J11" s="8" t="s">
        <v>6084</v>
      </c>
      <c r="K11" s="7"/>
      <c r="L11" s="8" t="s">
        <v>6085</v>
      </c>
      <c r="M11" s="8" t="s">
        <v>6086</v>
      </c>
      <c r="N11" s="8" t="s">
        <v>6087</v>
      </c>
      <c r="O11" s="8" t="s">
        <v>6088</v>
      </c>
      <c r="P11" s="8" t="s">
        <v>6089</v>
      </c>
      <c r="Q11" s="8" t="s">
        <v>6090</v>
      </c>
      <c r="R11" s="8" t="s">
        <v>6091</v>
      </c>
      <c r="S11" s="8" t="s">
        <v>6092</v>
      </c>
      <c r="T11" s="8" t="s">
        <v>6093</v>
      </c>
      <c r="U11" s="8" t="s">
        <v>6094</v>
      </c>
      <c r="V11" s="8" t="s">
        <v>6095</v>
      </c>
      <c r="W11" s="8" t="s">
        <v>6096</v>
      </c>
      <c r="X11" s="8" t="s">
        <v>6097</v>
      </c>
      <c r="Y11" s="8" t="s">
        <v>6098</v>
      </c>
    </row>
    <row r="12" ht="16.5" customHeight="1">
      <c r="A12" s="2" t="s">
        <v>5855</v>
      </c>
      <c r="B12" s="8" t="s">
        <v>6099</v>
      </c>
      <c r="C12" s="8" t="s">
        <v>6100</v>
      </c>
      <c r="D12" s="8" t="s">
        <v>6101</v>
      </c>
      <c r="E12" s="8" t="s">
        <v>6102</v>
      </c>
      <c r="F12" s="8" t="s">
        <v>6103</v>
      </c>
      <c r="G12" s="8" t="s">
        <v>6104</v>
      </c>
      <c r="H12" s="8" t="s">
        <v>6105</v>
      </c>
      <c r="I12" s="8" t="s">
        <v>6106</v>
      </c>
      <c r="J12" s="8" t="s">
        <v>6107</v>
      </c>
      <c r="K12" s="8" t="s">
        <v>6108</v>
      </c>
      <c r="L12" s="7"/>
      <c r="M12" s="8" t="s">
        <v>6109</v>
      </c>
      <c r="N12" s="8" t="s">
        <v>6110</v>
      </c>
      <c r="O12" s="8" t="s">
        <v>6111</v>
      </c>
      <c r="P12" s="8" t="s">
        <v>6112</v>
      </c>
      <c r="Q12" s="8" t="s">
        <v>6113</v>
      </c>
      <c r="R12" s="8" t="s">
        <v>6114</v>
      </c>
      <c r="S12" s="8" t="s">
        <v>6115</v>
      </c>
      <c r="T12" s="8" t="s">
        <v>6116</v>
      </c>
      <c r="U12" s="8" t="s">
        <v>6117</v>
      </c>
      <c r="V12" s="8" t="s">
        <v>6118</v>
      </c>
      <c r="W12" s="8" t="s">
        <v>6119</v>
      </c>
      <c r="X12" s="8" t="s">
        <v>6120</v>
      </c>
      <c r="Y12" s="8" t="s">
        <v>6121</v>
      </c>
    </row>
    <row r="13" ht="16.5" customHeight="1">
      <c r="A13" s="2" t="s">
        <v>5856</v>
      </c>
      <c r="B13" s="8" t="s">
        <v>6122</v>
      </c>
      <c r="C13" s="8" t="s">
        <v>6123</v>
      </c>
      <c r="D13" s="8" t="s">
        <v>6124</v>
      </c>
      <c r="E13" s="8" t="s">
        <v>6125</v>
      </c>
      <c r="F13" s="8" t="s">
        <v>6126</v>
      </c>
      <c r="G13" s="8" t="s">
        <v>6127</v>
      </c>
      <c r="H13" s="8" t="s">
        <v>6128</v>
      </c>
      <c r="I13" s="8" t="s">
        <v>6129</v>
      </c>
      <c r="J13" s="8" t="s">
        <v>6130</v>
      </c>
      <c r="K13" s="8" t="s">
        <v>6131</v>
      </c>
      <c r="L13" s="8" t="s">
        <v>6132</v>
      </c>
      <c r="M13" s="7"/>
      <c r="N13" s="8" t="s">
        <v>6133</v>
      </c>
      <c r="O13" s="8" t="s">
        <v>6134</v>
      </c>
      <c r="P13" s="8" t="s">
        <v>6135</v>
      </c>
      <c r="Q13" s="8" t="s">
        <v>6136</v>
      </c>
      <c r="R13" s="8" t="s">
        <v>6137</v>
      </c>
      <c r="S13" s="8" t="s">
        <v>6138</v>
      </c>
      <c r="T13" s="8" t="s">
        <v>6139</v>
      </c>
      <c r="U13" s="8" t="s">
        <v>6140</v>
      </c>
      <c r="V13" s="8" t="s">
        <v>6141</v>
      </c>
      <c r="W13" s="8" t="s">
        <v>6142</v>
      </c>
      <c r="X13" s="8" t="s">
        <v>6143</v>
      </c>
      <c r="Y13" s="8" t="s">
        <v>6144</v>
      </c>
    </row>
    <row r="14" ht="16.5" customHeight="1">
      <c r="A14" s="2" t="s">
        <v>5857</v>
      </c>
      <c r="B14" s="8" t="s">
        <v>6145</v>
      </c>
      <c r="C14" s="8" t="s">
        <v>6146</v>
      </c>
      <c r="D14" s="8" t="s">
        <v>6147</v>
      </c>
      <c r="E14" s="8" t="s">
        <v>6148</v>
      </c>
      <c r="F14" s="8" t="s">
        <v>6149</v>
      </c>
      <c r="G14" s="8" t="s">
        <v>6150</v>
      </c>
      <c r="H14" s="8" t="s">
        <v>6151</v>
      </c>
      <c r="I14" s="8" t="s">
        <v>6152</v>
      </c>
      <c r="J14" s="8" t="s">
        <v>6153</v>
      </c>
      <c r="K14" s="8" t="s">
        <v>6154</v>
      </c>
      <c r="L14" s="8" t="s">
        <v>6155</v>
      </c>
      <c r="M14" s="8" t="s">
        <v>6156</v>
      </c>
      <c r="N14" s="7"/>
      <c r="O14" s="8" t="s">
        <v>6157</v>
      </c>
      <c r="P14" s="8" t="s">
        <v>6158</v>
      </c>
      <c r="Q14" s="8" t="s">
        <v>6159</v>
      </c>
      <c r="R14" s="8" t="s">
        <v>6160</v>
      </c>
      <c r="S14" s="8" t="s">
        <v>6161</v>
      </c>
      <c r="T14" s="8" t="s">
        <v>6162</v>
      </c>
      <c r="U14" s="8" t="s">
        <v>6163</v>
      </c>
      <c r="V14" s="8" t="s">
        <v>6164</v>
      </c>
      <c r="W14" s="8" t="s">
        <v>6165</v>
      </c>
      <c r="X14" s="8" t="s">
        <v>6166</v>
      </c>
      <c r="Y14" s="8" t="s">
        <v>6167</v>
      </c>
    </row>
    <row r="15" ht="16.5" customHeight="1">
      <c r="A15" s="2" t="s">
        <v>5858</v>
      </c>
      <c r="B15" s="8" t="s">
        <v>6168</v>
      </c>
      <c r="C15" s="8" t="s">
        <v>6169</v>
      </c>
      <c r="D15" s="8" t="s">
        <v>6170</v>
      </c>
      <c r="E15" s="8" t="s">
        <v>6171</v>
      </c>
      <c r="F15" s="8" t="s">
        <v>6172</v>
      </c>
      <c r="G15" s="8" t="s">
        <v>6173</v>
      </c>
      <c r="H15" s="8" t="s">
        <v>6174</v>
      </c>
      <c r="I15" s="8" t="s">
        <v>6175</v>
      </c>
      <c r="J15" s="8" t="s">
        <v>6176</v>
      </c>
      <c r="K15" s="8" t="s">
        <v>6177</v>
      </c>
      <c r="L15" s="8" t="s">
        <v>6178</v>
      </c>
      <c r="M15" s="8" t="s">
        <v>6179</v>
      </c>
      <c r="N15" s="8" t="s">
        <v>6180</v>
      </c>
      <c r="O15" s="7"/>
      <c r="P15" s="8" t="s">
        <v>6181</v>
      </c>
      <c r="Q15" s="8" t="s">
        <v>6182</v>
      </c>
      <c r="R15" s="8" t="s">
        <v>6183</v>
      </c>
      <c r="S15" s="8" t="s">
        <v>6184</v>
      </c>
      <c r="T15" s="8" t="s">
        <v>6185</v>
      </c>
      <c r="U15" s="8" t="s">
        <v>6186</v>
      </c>
      <c r="V15" s="8" t="s">
        <v>6187</v>
      </c>
      <c r="W15" s="8" t="s">
        <v>6188</v>
      </c>
      <c r="X15" s="8" t="s">
        <v>6189</v>
      </c>
      <c r="Y15" s="8" t="s">
        <v>6190</v>
      </c>
    </row>
    <row r="16" ht="16.5" customHeight="1">
      <c r="A16" s="2" t="s">
        <v>5859</v>
      </c>
      <c r="B16" s="8" t="s">
        <v>6191</v>
      </c>
      <c r="C16" s="8" t="s">
        <v>6192</v>
      </c>
      <c r="D16" s="8" t="s">
        <v>6193</v>
      </c>
      <c r="E16" s="8" t="s">
        <v>6194</v>
      </c>
      <c r="F16" s="8" t="s">
        <v>6195</v>
      </c>
      <c r="G16" s="8" t="s">
        <v>6196</v>
      </c>
      <c r="H16" s="8" t="s">
        <v>6197</v>
      </c>
      <c r="I16" s="8" t="s">
        <v>6198</v>
      </c>
      <c r="J16" s="8" t="s">
        <v>6199</v>
      </c>
      <c r="K16" s="8" t="s">
        <v>6200</v>
      </c>
      <c r="L16" s="8" t="s">
        <v>6201</v>
      </c>
      <c r="M16" s="8" t="s">
        <v>6202</v>
      </c>
      <c r="N16" s="8" t="s">
        <v>6203</v>
      </c>
      <c r="O16" s="8" t="s">
        <v>6204</v>
      </c>
      <c r="P16" s="7"/>
      <c r="Q16" s="8" t="s">
        <v>6205</v>
      </c>
      <c r="R16" s="8" t="s">
        <v>6206</v>
      </c>
      <c r="S16" s="8" t="s">
        <v>6207</v>
      </c>
      <c r="T16" s="8" t="s">
        <v>6208</v>
      </c>
      <c r="U16" s="8" t="s">
        <v>6209</v>
      </c>
      <c r="V16" s="8" t="s">
        <v>6210</v>
      </c>
      <c r="W16" s="8" t="s">
        <v>6211</v>
      </c>
      <c r="X16" s="8" t="s">
        <v>6212</v>
      </c>
      <c r="Y16" s="8" t="s">
        <v>6213</v>
      </c>
    </row>
    <row r="17" ht="16.5" customHeight="1">
      <c r="A17" s="2" t="s">
        <v>5860</v>
      </c>
      <c r="B17" s="8" t="s">
        <v>6214</v>
      </c>
      <c r="C17" s="8" t="s">
        <v>6215</v>
      </c>
      <c r="D17" s="8" t="s">
        <v>6216</v>
      </c>
      <c r="E17" s="8" t="s">
        <v>6217</v>
      </c>
      <c r="F17" s="8" t="s">
        <v>6218</v>
      </c>
      <c r="G17" s="8" t="s">
        <v>6219</v>
      </c>
      <c r="H17" s="8" t="s">
        <v>6220</v>
      </c>
      <c r="I17" s="8" t="s">
        <v>6221</v>
      </c>
      <c r="J17" s="8" t="s">
        <v>6222</v>
      </c>
      <c r="K17" s="8" t="s">
        <v>6223</v>
      </c>
      <c r="L17" s="8" t="s">
        <v>6224</v>
      </c>
      <c r="M17" s="8" t="s">
        <v>6225</v>
      </c>
      <c r="N17" s="8" t="s">
        <v>6226</v>
      </c>
      <c r="O17" s="8" t="s">
        <v>6227</v>
      </c>
      <c r="P17" s="8" t="s">
        <v>6228</v>
      </c>
      <c r="Q17" s="7"/>
      <c r="R17" s="8" t="s">
        <v>6229</v>
      </c>
      <c r="S17" s="8" t="s">
        <v>6230</v>
      </c>
      <c r="T17" s="8" t="s">
        <v>6231</v>
      </c>
      <c r="U17" s="8" t="s">
        <v>6232</v>
      </c>
      <c r="V17" s="8" t="s">
        <v>6233</v>
      </c>
      <c r="W17" s="8" t="s">
        <v>6234</v>
      </c>
      <c r="X17" s="8" t="s">
        <v>6235</v>
      </c>
      <c r="Y17" s="8" t="s">
        <v>6236</v>
      </c>
    </row>
    <row r="18" ht="16.5" customHeight="1">
      <c r="A18" s="2" t="s">
        <v>5861</v>
      </c>
      <c r="B18" s="8" t="s">
        <v>6237</v>
      </c>
      <c r="C18" s="8" t="s">
        <v>6238</v>
      </c>
      <c r="D18" s="8" t="s">
        <v>6239</v>
      </c>
      <c r="E18" s="8" t="s">
        <v>6240</v>
      </c>
      <c r="F18" s="8" t="s">
        <v>6241</v>
      </c>
      <c r="G18" s="8" t="s">
        <v>6242</v>
      </c>
      <c r="H18" s="8" t="s">
        <v>6243</v>
      </c>
      <c r="I18" s="8" t="s">
        <v>6244</v>
      </c>
      <c r="J18" s="8" t="s">
        <v>6245</v>
      </c>
      <c r="K18" s="8" t="s">
        <v>6246</v>
      </c>
      <c r="L18" s="8" t="s">
        <v>6247</v>
      </c>
      <c r="M18" s="8" t="s">
        <v>6248</v>
      </c>
      <c r="N18" s="8" t="s">
        <v>6249</v>
      </c>
      <c r="O18" s="8" t="s">
        <v>6250</v>
      </c>
      <c r="P18" s="8" t="s">
        <v>6251</v>
      </c>
      <c r="Q18" s="8" t="s">
        <v>6252</v>
      </c>
      <c r="R18" s="7"/>
      <c r="S18" s="8" t="s">
        <v>6253</v>
      </c>
      <c r="T18" s="8" t="s">
        <v>6254</v>
      </c>
      <c r="U18" s="8" t="s">
        <v>6255</v>
      </c>
      <c r="V18" s="8" t="s">
        <v>6256</v>
      </c>
      <c r="W18" s="8" t="s">
        <v>6257</v>
      </c>
      <c r="X18" s="8" t="s">
        <v>6258</v>
      </c>
      <c r="Y18" s="8" t="s">
        <v>6259</v>
      </c>
    </row>
    <row r="19" ht="16.5" customHeight="1">
      <c r="A19" s="2" t="s">
        <v>5862</v>
      </c>
      <c r="B19" s="8" t="s">
        <v>6260</v>
      </c>
      <c r="C19" s="8" t="s">
        <v>6261</v>
      </c>
      <c r="D19" s="8" t="s">
        <v>6262</v>
      </c>
      <c r="E19" s="8" t="s">
        <v>6263</v>
      </c>
      <c r="F19" s="8" t="s">
        <v>6264</v>
      </c>
      <c r="G19" s="8" t="s">
        <v>6265</v>
      </c>
      <c r="H19" s="8" t="s">
        <v>6266</v>
      </c>
      <c r="I19" s="8" t="s">
        <v>6267</v>
      </c>
      <c r="J19" s="8" t="s">
        <v>6268</v>
      </c>
      <c r="K19" s="8" t="s">
        <v>6269</v>
      </c>
      <c r="L19" s="8" t="s">
        <v>6270</v>
      </c>
      <c r="M19" s="8" t="s">
        <v>6271</v>
      </c>
      <c r="N19" s="8" t="s">
        <v>6272</v>
      </c>
      <c r="O19" s="8" t="s">
        <v>6273</v>
      </c>
      <c r="P19" s="8" t="s">
        <v>6274</v>
      </c>
      <c r="Q19" s="8" t="s">
        <v>6275</v>
      </c>
      <c r="R19" s="8" t="s">
        <v>6276</v>
      </c>
      <c r="S19" s="7"/>
      <c r="T19" s="8" t="s">
        <v>6277</v>
      </c>
      <c r="U19" s="8" t="s">
        <v>6278</v>
      </c>
      <c r="V19" s="8" t="s">
        <v>6279</v>
      </c>
      <c r="W19" s="8" t="s">
        <v>6280</v>
      </c>
      <c r="X19" s="8" t="s">
        <v>6281</v>
      </c>
      <c r="Y19" s="8" t="s">
        <v>6282</v>
      </c>
    </row>
    <row r="20" ht="16.5" customHeight="1">
      <c r="A20" s="2" t="s">
        <v>5863</v>
      </c>
      <c r="B20" s="8" t="s">
        <v>6283</v>
      </c>
      <c r="C20" s="8" t="s">
        <v>6284</v>
      </c>
      <c r="D20" s="8" t="s">
        <v>6285</v>
      </c>
      <c r="E20" s="8" t="s">
        <v>6286</v>
      </c>
      <c r="F20" s="8" t="s">
        <v>6287</v>
      </c>
      <c r="G20" s="8" t="s">
        <v>6288</v>
      </c>
      <c r="H20" s="8" t="s">
        <v>6289</v>
      </c>
      <c r="I20" s="8" t="s">
        <v>6290</v>
      </c>
      <c r="J20" s="8" t="s">
        <v>6291</v>
      </c>
      <c r="K20" s="8" t="s">
        <v>6292</v>
      </c>
      <c r="L20" s="8" t="s">
        <v>6293</v>
      </c>
      <c r="M20" s="8" t="s">
        <v>6294</v>
      </c>
      <c r="N20" s="8" t="s">
        <v>6295</v>
      </c>
      <c r="O20" s="8" t="s">
        <v>6296</v>
      </c>
      <c r="P20" s="8" t="s">
        <v>6297</v>
      </c>
      <c r="Q20" s="8" t="s">
        <v>6298</v>
      </c>
      <c r="R20" s="8" t="s">
        <v>6299</v>
      </c>
      <c r="S20" s="8" t="s">
        <v>6300</v>
      </c>
      <c r="T20" s="7"/>
      <c r="U20" s="8" t="s">
        <v>6301</v>
      </c>
      <c r="V20" s="8" t="s">
        <v>6302</v>
      </c>
      <c r="W20" s="8" t="s">
        <v>6303</v>
      </c>
      <c r="X20" s="8" t="s">
        <v>6304</v>
      </c>
      <c r="Y20" s="8" t="s">
        <v>6305</v>
      </c>
    </row>
    <row r="21" ht="16.5" customHeight="1">
      <c r="A21" s="2" t="s">
        <v>5864</v>
      </c>
      <c r="B21" s="8" t="s">
        <v>6306</v>
      </c>
      <c r="C21" s="8" t="s">
        <v>6307</v>
      </c>
      <c r="D21" s="8" t="s">
        <v>6308</v>
      </c>
      <c r="E21" s="8" t="s">
        <v>6309</v>
      </c>
      <c r="F21" s="8" t="s">
        <v>6310</v>
      </c>
      <c r="G21" s="8" t="s">
        <v>6311</v>
      </c>
      <c r="H21" s="8" t="s">
        <v>6312</v>
      </c>
      <c r="I21" s="8" t="s">
        <v>6313</v>
      </c>
      <c r="J21" s="8" t="s">
        <v>6314</v>
      </c>
      <c r="K21" s="8" t="s">
        <v>6315</v>
      </c>
      <c r="L21" s="8" t="s">
        <v>6316</v>
      </c>
      <c r="M21" s="8" t="s">
        <v>6317</v>
      </c>
      <c r="N21" s="8" t="s">
        <v>6318</v>
      </c>
      <c r="O21" s="8" t="s">
        <v>6319</v>
      </c>
      <c r="P21" s="8" t="s">
        <v>6320</v>
      </c>
      <c r="Q21" s="8" t="s">
        <v>6321</v>
      </c>
      <c r="R21" s="8" t="s">
        <v>6322</v>
      </c>
      <c r="S21" s="8" t="s">
        <v>6323</v>
      </c>
      <c r="T21" s="8" t="s">
        <v>6324</v>
      </c>
      <c r="U21" s="7"/>
      <c r="V21" s="8" t="s">
        <v>6325</v>
      </c>
      <c r="W21" s="8" t="s">
        <v>6326</v>
      </c>
      <c r="X21" s="8" t="s">
        <v>6327</v>
      </c>
      <c r="Y21" s="8" t="s">
        <v>6328</v>
      </c>
    </row>
    <row r="22" ht="16.5" customHeight="1">
      <c r="A22" s="2" t="s">
        <v>5865</v>
      </c>
      <c r="B22" s="8" t="s">
        <v>6329</v>
      </c>
      <c r="C22" s="8" t="s">
        <v>6330</v>
      </c>
      <c r="D22" s="8" t="s">
        <v>6331</v>
      </c>
      <c r="E22" s="8" t="s">
        <v>6332</v>
      </c>
      <c r="F22" s="8" t="s">
        <v>6333</v>
      </c>
      <c r="G22" s="8" t="s">
        <v>6334</v>
      </c>
      <c r="H22" s="8" t="s">
        <v>6335</v>
      </c>
      <c r="I22" s="8" t="s">
        <v>6336</v>
      </c>
      <c r="J22" s="8" t="s">
        <v>6337</v>
      </c>
      <c r="K22" s="8" t="s">
        <v>6338</v>
      </c>
      <c r="L22" s="8" t="s">
        <v>6339</v>
      </c>
      <c r="M22" s="8" t="s">
        <v>6340</v>
      </c>
      <c r="N22" s="8" t="s">
        <v>6341</v>
      </c>
      <c r="O22" s="8" t="s">
        <v>6342</v>
      </c>
      <c r="P22" s="8" t="s">
        <v>6343</v>
      </c>
      <c r="Q22" s="8" t="s">
        <v>6344</v>
      </c>
      <c r="R22" s="8" t="s">
        <v>6345</v>
      </c>
      <c r="S22" s="8" t="s">
        <v>6346</v>
      </c>
      <c r="T22" s="8" t="s">
        <v>6347</v>
      </c>
      <c r="U22" s="8" t="s">
        <v>6348</v>
      </c>
      <c r="V22" s="7"/>
      <c r="W22" s="8" t="s">
        <v>6349</v>
      </c>
      <c r="X22" s="8" t="s">
        <v>6350</v>
      </c>
      <c r="Y22" s="8" t="s">
        <v>6351</v>
      </c>
    </row>
    <row r="23" ht="16.5" customHeight="1">
      <c r="A23" s="2" t="s">
        <v>5866</v>
      </c>
      <c r="B23" s="8" t="s">
        <v>6352</v>
      </c>
      <c r="C23" s="8" t="s">
        <v>6353</v>
      </c>
      <c r="D23" s="8" t="s">
        <v>6354</v>
      </c>
      <c r="E23" s="8" t="s">
        <v>6355</v>
      </c>
      <c r="F23" s="8" t="s">
        <v>6356</v>
      </c>
      <c r="G23" s="8" t="s">
        <v>6357</v>
      </c>
      <c r="H23" s="8" t="s">
        <v>6358</v>
      </c>
      <c r="I23" s="8" t="s">
        <v>6359</v>
      </c>
      <c r="J23" s="8" t="s">
        <v>6360</v>
      </c>
      <c r="K23" s="8" t="s">
        <v>6361</v>
      </c>
      <c r="L23" s="8" t="s">
        <v>6362</v>
      </c>
      <c r="M23" s="8" t="s">
        <v>6363</v>
      </c>
      <c r="N23" s="8" t="s">
        <v>6364</v>
      </c>
      <c r="O23" s="8" t="s">
        <v>6365</v>
      </c>
      <c r="P23" s="8" t="s">
        <v>6366</v>
      </c>
      <c r="Q23" s="8" t="s">
        <v>6367</v>
      </c>
      <c r="R23" s="8" t="s">
        <v>6368</v>
      </c>
      <c r="S23" s="8" t="s">
        <v>6369</v>
      </c>
      <c r="T23" s="8" t="s">
        <v>6370</v>
      </c>
      <c r="U23" s="8" t="s">
        <v>6371</v>
      </c>
      <c r="V23" s="8" t="s">
        <v>6372</v>
      </c>
      <c r="W23" s="7"/>
      <c r="X23" s="8" t="s">
        <v>6373</v>
      </c>
      <c r="Y23" s="8" t="s">
        <v>6374</v>
      </c>
    </row>
    <row r="24" ht="16.5" customHeight="1">
      <c r="A24" s="2" t="s">
        <v>5867</v>
      </c>
      <c r="B24" s="8" t="s">
        <v>6375</v>
      </c>
      <c r="C24" s="8" t="s">
        <v>6376</v>
      </c>
      <c r="D24" s="8" t="s">
        <v>6377</v>
      </c>
      <c r="E24" s="8" t="s">
        <v>6378</v>
      </c>
      <c r="F24" s="8" t="s">
        <v>6379</v>
      </c>
      <c r="G24" s="8" t="s">
        <v>6380</v>
      </c>
      <c r="H24" s="8" t="s">
        <v>6381</v>
      </c>
      <c r="I24" s="8" t="s">
        <v>6382</v>
      </c>
      <c r="J24" s="8" t="s">
        <v>6383</v>
      </c>
      <c r="K24" s="8" t="s">
        <v>6384</v>
      </c>
      <c r="L24" s="8" t="s">
        <v>6385</v>
      </c>
      <c r="M24" s="8" t="s">
        <v>6386</v>
      </c>
      <c r="N24" s="8" t="s">
        <v>6387</v>
      </c>
      <c r="O24" s="8" t="s">
        <v>6388</v>
      </c>
      <c r="P24" s="8" t="s">
        <v>6389</v>
      </c>
      <c r="Q24" s="8" t="s">
        <v>6390</v>
      </c>
      <c r="R24" s="8" t="s">
        <v>6391</v>
      </c>
      <c r="S24" s="8" t="s">
        <v>6392</v>
      </c>
      <c r="T24" s="8" t="s">
        <v>6393</v>
      </c>
      <c r="U24" s="8" t="s">
        <v>6394</v>
      </c>
      <c r="V24" s="8" t="s">
        <v>6395</v>
      </c>
      <c r="W24" s="8" t="s">
        <v>6396</v>
      </c>
      <c r="X24" s="7"/>
      <c r="Y24" s="8" t="s">
        <v>6397</v>
      </c>
    </row>
    <row r="25" ht="16.5" customHeight="1">
      <c r="A25" s="2" t="s">
        <v>5868</v>
      </c>
      <c r="B25" s="8" t="s">
        <v>6398</v>
      </c>
      <c r="C25" s="8" t="s">
        <v>6399</v>
      </c>
      <c r="D25" s="8" t="s">
        <v>6400</v>
      </c>
      <c r="E25" s="8" t="s">
        <v>6401</v>
      </c>
      <c r="F25" s="8" t="s">
        <v>6402</v>
      </c>
      <c r="G25" s="8" t="s">
        <v>6403</v>
      </c>
      <c r="H25" s="8" t="s">
        <v>6404</v>
      </c>
      <c r="I25" s="8" t="s">
        <v>6405</v>
      </c>
      <c r="J25" s="8" t="s">
        <v>6406</v>
      </c>
      <c r="K25" s="8" t="s">
        <v>6407</v>
      </c>
      <c r="L25" s="8" t="s">
        <v>6408</v>
      </c>
      <c r="M25" s="8" t="s">
        <v>6409</v>
      </c>
      <c r="N25" s="8" t="s">
        <v>6410</v>
      </c>
      <c r="O25" s="8" t="s">
        <v>6411</v>
      </c>
      <c r="P25" s="8" t="s">
        <v>6412</v>
      </c>
      <c r="Q25" s="8" t="s">
        <v>6413</v>
      </c>
      <c r="R25" s="8" t="s">
        <v>6414</v>
      </c>
      <c r="S25" s="8" t="s">
        <v>6415</v>
      </c>
      <c r="T25" s="8" t="s">
        <v>6416</v>
      </c>
      <c r="U25" s="8" t="s">
        <v>6417</v>
      </c>
      <c r="V25" s="8" t="s">
        <v>6418</v>
      </c>
      <c r="W25" s="8" t="s">
        <v>6419</v>
      </c>
      <c r="X25" s="8" t="s">
        <v>6420</v>
      </c>
      <c r="Y25" s="7"/>
    </row>
    <row r="26" ht="16.5" customHeight="1">
      <c r="A26" s="1"/>
    </row>
    <row r="27" ht="16.5" customHeight="1">
      <c r="A27" s="1"/>
      <c r="B27" s="8" t="s">
        <v>6421</v>
      </c>
    </row>
    <row r="28" ht="16.5" customHeight="1">
      <c r="A28" s="1"/>
      <c r="B28" s="5" t="s">
        <v>6422</v>
      </c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hyperlinks>
    <hyperlink r:id="rId2" location="gid=0" ref="B28"/>
  </hyperlinks>
  <drawing r:id="rId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14"/>
  </cols>
  <sheetData>
    <row r="1" ht="16.5" customHeight="1">
      <c r="A1" s="2" t="s">
        <v>0</v>
      </c>
      <c r="B1" s="2" t="s">
        <v>6423</v>
      </c>
      <c r="C1" s="2" t="s">
        <v>6424</v>
      </c>
      <c r="D1" s="2" t="s">
        <v>6425</v>
      </c>
      <c r="E1" s="2" t="s">
        <v>6426</v>
      </c>
      <c r="F1" s="2" t="s">
        <v>6427</v>
      </c>
      <c r="G1" s="2" t="s">
        <v>6428</v>
      </c>
      <c r="H1" s="2" t="s">
        <v>6429</v>
      </c>
      <c r="I1" s="2" t="s">
        <v>6430</v>
      </c>
      <c r="J1" s="2" t="s">
        <v>6431</v>
      </c>
      <c r="K1" s="2" t="s">
        <v>6432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ht="16.5" customHeight="1">
      <c r="A2" s="2" t="s">
        <v>6423</v>
      </c>
      <c r="B2" s="32" t="s">
        <v>6433</v>
      </c>
      <c r="C2" s="8" t="s">
        <v>6434</v>
      </c>
      <c r="D2" s="8" t="s">
        <v>6435</v>
      </c>
      <c r="E2" s="8" t="s">
        <v>6436</v>
      </c>
      <c r="F2" s="8" t="s">
        <v>6437</v>
      </c>
      <c r="G2" s="8" t="s">
        <v>6438</v>
      </c>
      <c r="H2" s="8" t="s">
        <v>6439</v>
      </c>
      <c r="I2" s="8" t="s">
        <v>6440</v>
      </c>
      <c r="J2" s="8" t="s">
        <v>6441</v>
      </c>
      <c r="K2" s="8" t="s">
        <v>6442</v>
      </c>
    </row>
    <row r="3" ht="16.5" customHeight="1">
      <c r="A3" s="2" t="s">
        <v>6424</v>
      </c>
      <c r="B3" s="8" t="s">
        <v>6443</v>
      </c>
      <c r="C3" s="32" t="s">
        <v>6444</v>
      </c>
      <c r="D3" s="8" t="s">
        <v>6445</v>
      </c>
      <c r="E3" s="8" t="s">
        <v>6446</v>
      </c>
      <c r="F3" s="8" t="s">
        <v>6447</v>
      </c>
      <c r="G3" s="8" t="s">
        <v>6448</v>
      </c>
      <c r="H3" s="8" t="s">
        <v>6449</v>
      </c>
      <c r="I3" s="8" t="s">
        <v>6450</v>
      </c>
      <c r="J3" s="8" t="s">
        <v>6451</v>
      </c>
      <c r="K3" s="8" t="s">
        <v>6452</v>
      </c>
    </row>
    <row r="4" ht="16.5" customHeight="1">
      <c r="A4" s="2" t="s">
        <v>6425</v>
      </c>
      <c r="B4" s="8" t="s">
        <v>6453</v>
      </c>
      <c r="C4" s="8" t="s">
        <v>6454</v>
      </c>
      <c r="D4" s="32" t="s">
        <v>6455</v>
      </c>
      <c r="E4" s="8" t="s">
        <v>5917</v>
      </c>
      <c r="F4" s="8" t="s">
        <v>6456</v>
      </c>
      <c r="G4" s="8" t="s">
        <v>6457</v>
      </c>
      <c r="H4" s="8" t="s">
        <v>6458</v>
      </c>
      <c r="I4" s="8" t="s">
        <v>6459</v>
      </c>
      <c r="J4" s="8" t="s">
        <v>6460</v>
      </c>
      <c r="K4" s="8" t="s">
        <v>6461</v>
      </c>
    </row>
    <row r="5" ht="16.5" customHeight="1">
      <c r="A5" s="2" t="s">
        <v>6426</v>
      </c>
      <c r="B5" s="8" t="s">
        <v>6462</v>
      </c>
      <c r="C5" s="8" t="s">
        <v>6463</v>
      </c>
      <c r="D5" s="8" t="s">
        <v>6464</v>
      </c>
      <c r="E5" s="32" t="s">
        <v>6465</v>
      </c>
      <c r="F5" s="8" t="s">
        <v>6466</v>
      </c>
      <c r="G5" s="8" t="s">
        <v>6467</v>
      </c>
      <c r="H5" s="8" t="s">
        <v>6468</v>
      </c>
      <c r="I5" s="8" t="s">
        <v>6469</v>
      </c>
      <c r="J5" s="8" t="s">
        <v>6470</v>
      </c>
      <c r="K5" s="8" t="s">
        <v>5946</v>
      </c>
    </row>
    <row r="6" ht="16.5" customHeight="1">
      <c r="A6" s="2" t="s">
        <v>6427</v>
      </c>
      <c r="B6" s="8" t="s">
        <v>5961</v>
      </c>
      <c r="C6" s="8" t="s">
        <v>6471</v>
      </c>
      <c r="D6" s="8" t="s">
        <v>6472</v>
      </c>
      <c r="E6" s="8" t="s">
        <v>6473</v>
      </c>
      <c r="F6" s="32" t="s">
        <v>6474</v>
      </c>
      <c r="G6" s="8" t="s">
        <v>6475</v>
      </c>
      <c r="H6" s="8" t="s">
        <v>6476</v>
      </c>
      <c r="I6" s="8" t="s">
        <v>6477</v>
      </c>
      <c r="J6" s="8" t="s">
        <v>6478</v>
      </c>
      <c r="K6" s="8" t="s">
        <v>6479</v>
      </c>
    </row>
    <row r="7" ht="16.5" customHeight="1">
      <c r="A7" s="2" t="s">
        <v>6428</v>
      </c>
      <c r="B7" s="8" t="s">
        <v>6480</v>
      </c>
      <c r="C7" s="8" t="s">
        <v>6481</v>
      </c>
      <c r="D7" s="8" t="s">
        <v>6482</v>
      </c>
      <c r="E7" s="8" t="s">
        <v>6483</v>
      </c>
      <c r="F7" s="8" t="s">
        <v>6484</v>
      </c>
      <c r="G7" s="32" t="s">
        <v>6485</v>
      </c>
      <c r="H7" s="8" t="s">
        <v>6486</v>
      </c>
      <c r="I7" s="8" t="s">
        <v>6487</v>
      </c>
      <c r="J7" s="8" t="s">
        <v>6488</v>
      </c>
      <c r="K7" s="8" t="s">
        <v>6489</v>
      </c>
    </row>
    <row r="8" ht="16.5" customHeight="1">
      <c r="A8" s="2" t="s">
        <v>6429</v>
      </c>
      <c r="B8" s="8" t="s">
        <v>6490</v>
      </c>
      <c r="C8" s="8" t="s">
        <v>6491</v>
      </c>
      <c r="D8" s="8" t="s">
        <v>6492</v>
      </c>
      <c r="E8" s="8" t="s">
        <v>6493</v>
      </c>
      <c r="F8" s="8" t="s">
        <v>6494</v>
      </c>
      <c r="G8" s="8" t="s">
        <v>6495</v>
      </c>
      <c r="H8" s="32" t="s">
        <v>6496</v>
      </c>
      <c r="I8" s="8" t="s">
        <v>6497</v>
      </c>
      <c r="J8" s="8" t="s">
        <v>6014</v>
      </c>
      <c r="K8" s="8" t="s">
        <v>6498</v>
      </c>
    </row>
    <row r="9" ht="16.5" customHeight="1">
      <c r="A9" s="2" t="s">
        <v>6430</v>
      </c>
      <c r="B9" s="8" t="s">
        <v>6499</v>
      </c>
      <c r="C9" s="8" t="s">
        <v>6500</v>
      </c>
      <c r="D9" s="8" t="s">
        <v>6501</v>
      </c>
      <c r="E9" s="8" t="s">
        <v>6502</v>
      </c>
      <c r="F9" s="8" t="s">
        <v>6503</v>
      </c>
      <c r="G9" s="8" t="s">
        <v>6504</v>
      </c>
      <c r="H9" s="8" t="s">
        <v>6505</v>
      </c>
      <c r="I9" s="32" t="s">
        <v>6506</v>
      </c>
      <c r="J9" s="8" t="s">
        <v>6507</v>
      </c>
      <c r="K9" s="8" t="s">
        <v>6508</v>
      </c>
    </row>
    <row r="10" ht="16.5" customHeight="1">
      <c r="A10" s="2" t="s">
        <v>6431</v>
      </c>
      <c r="B10" s="8" t="s">
        <v>6509</v>
      </c>
      <c r="C10" s="8" t="s">
        <v>6054</v>
      </c>
      <c r="D10" s="8" t="s">
        <v>6510</v>
      </c>
      <c r="E10" s="8" t="s">
        <v>6511</v>
      </c>
      <c r="F10" s="8" t="s">
        <v>6512</v>
      </c>
      <c r="G10" s="8" t="s">
        <v>6513</v>
      </c>
      <c r="H10" s="8" t="s">
        <v>6514</v>
      </c>
      <c r="I10" s="8" t="s">
        <v>6515</v>
      </c>
      <c r="J10" s="32" t="s">
        <v>6516</v>
      </c>
      <c r="K10" s="8" t="s">
        <v>6517</v>
      </c>
    </row>
    <row r="11" ht="16.5" customHeight="1">
      <c r="A11" s="2" t="s">
        <v>6432</v>
      </c>
      <c r="B11" s="8" t="s">
        <v>6518</v>
      </c>
      <c r="C11" s="8" t="s">
        <v>6519</v>
      </c>
      <c r="D11" s="8" t="s">
        <v>6520</v>
      </c>
      <c r="E11" s="8" t="s">
        <v>6521</v>
      </c>
      <c r="F11" s="8" t="s">
        <v>6522</v>
      </c>
      <c r="G11" s="8" t="s">
        <v>6523</v>
      </c>
      <c r="H11" s="8" t="s">
        <v>6524</v>
      </c>
      <c r="I11" s="8" t="s">
        <v>6525</v>
      </c>
      <c r="J11" s="8" t="s">
        <v>6526</v>
      </c>
      <c r="K11" s="32" t="s">
        <v>6527</v>
      </c>
    </row>
    <row r="12" ht="16.5" customHeight="1">
      <c r="A12" s="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ht="16.5" customHeight="1">
      <c r="A13" s="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ht="16.5" customHeight="1">
      <c r="A14" s="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ht="16.5" customHeight="1">
      <c r="A15" s="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ht="16.5" customHeight="1">
      <c r="A16" s="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ht="16.5" customHeight="1">
      <c r="A17" s="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ht="16.5" customHeight="1">
      <c r="A18" s="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ht="16.5" customHeight="1">
      <c r="A19" s="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ht="16.5" customHeight="1">
      <c r="A20" s="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ht="16.5" customHeight="1">
      <c r="A21" s="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ht="16.5" customHeight="1">
      <c r="A22" s="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ht="16.5" customHeight="1">
      <c r="A23" s="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ht="16.5" customHeight="1">
      <c r="A24" s="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ht="16.5" customHeight="1">
      <c r="A25" s="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drawing r:id="rId1"/>
</worksheet>
</file>